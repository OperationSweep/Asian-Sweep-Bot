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Kitting Plan" sheetId="2" state="visible" r:id="rId4"/>
    <sheet name="Work Orders" sheetId="3" state="visible" r:id="rId5"/>
    <sheet name="Lists" sheetId="4" state="hidden" r:id="rId6"/>
    <sheet name="How To Use" sheetId="5" state="visible" r:id="rId7"/>
  </sheets>
  <definedNames>
    <definedName function="false" hidden="false" localSheetId="0" name="_xlnm.Print_Area" vbProcedure="false">Dashboard!$A$1:$N$34</definedName>
    <definedName function="false" hidden="true" localSheetId="2" name="_xlnm._FilterDatabase" vbProcedure="false">'Work Orders'!$A$5:$L$505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<sst xmlns="http://schemas.openxmlformats.org/spreadsheetml/2006/main" count="187" uniqueCount="130">
  <si>
    <t xml:space="preserve">R5B E2A 12FP COLD T5 KITTING CONTROL  ·  WK 40</t>
  </si>
  <si>
    <t xml:space="preserve">VIEW REPEATER ▸</t>
  </si>
  <si>
    <t xml:space="preserve">All</t>
  </si>
  <si>
    <t xml:space="preserve">Pick All or 1–13</t>
  </si>
  <si>
    <t xml:space="preserve">ASSEMBLIES</t>
  </si>
  <si>
    <t xml:space="preserve">REQUIRED QTY</t>
  </si>
  <si>
    <t xml:space="preserve">WO COVERAGE</t>
  </si>
  <si>
    <t xml:space="preserve">WORK ORDERS</t>
  </si>
  <si>
    <t xml:space="preserve">SHORT / OVER</t>
  </si>
  <si>
    <t xml:space="preserve">DATA FLAGS</t>
  </si>
  <si>
    <t xml:space="preserve">COVERAGE BY SEQUENCE</t>
  </si>
  <si>
    <t xml:space="preserve">WORK-ORDER PIPELINE</t>
  </si>
  <si>
    <t xml:space="preserve">Sequence</t>
  </si>
  <si>
    <t xml:space="preserve">Codes</t>
  </si>
  <si>
    <t xml:space="preserve">Coverage</t>
  </si>
  <si>
    <t xml:space="preserve">Required</t>
  </si>
  <si>
    <t xml:space="preserve">WO Qty</t>
  </si>
  <si>
    <t xml:space="preserve">%</t>
  </si>
  <si>
    <t xml:space="preserve">Status</t>
  </si>
  <si>
    <t xml:space="preserve">WOs</t>
  </si>
  <si>
    <t xml:space="preserve">Qty</t>
  </si>
  <si>
    <t xml:space="preserve">Share of WOs</t>
  </si>
  <si>
    <t xml:space="preserve">LASER ASSY</t>
  </si>
  <si>
    <t xml:space="preserve">Planned</t>
  </si>
  <si>
    <t xml:space="preserve">PSB ASSY</t>
  </si>
  <si>
    <t xml:space="preserve">Released</t>
  </si>
  <si>
    <t xml:space="preserve">OPF ASSY</t>
  </si>
  <si>
    <t xml:space="preserve">Kitted</t>
  </si>
  <si>
    <t xml:space="preserve">POB ASSY</t>
  </si>
  <si>
    <t xml:space="preserve">Closed</t>
  </si>
  <si>
    <t xml:space="preserve">ERBIUM ASSY</t>
  </si>
  <si>
    <t xml:space="preserve">Total</t>
  </si>
  <si>
    <t xml:space="preserve">BOAT ASSY</t>
  </si>
  <si>
    <t xml:space="preserve">ASSEMBLY LEDGER</t>
  </si>
  <si>
    <t xml:space="preserve">Coverage = WO qty ÷ required qty for the selected view. Repeater views count each 'All' WO split evenly across the repeaters being released.</t>
  </si>
  <si>
    <t xml:space="preserve">Assy Code</t>
  </si>
  <si>
    <t xml:space="preserve">Description</t>
  </si>
  <si>
    <t xml:space="preserve">Release</t>
  </si>
  <si>
    <t xml:space="preserve">Default / Rep</t>
  </si>
  <si>
    <t xml:space="preserve">Closed Qty</t>
  </si>
  <si>
    <t xml:space="preserve">Work Order Nos.</t>
  </si>
  <si>
    <t xml:space="preserve">Plan Check</t>
  </si>
  <si>
    <t xml:space="preserve">KITTING PLAN — MASTER DATA</t>
  </si>
  <si>
    <t xml:space="preserve">Source: kitting plan table supplied by the user (R5B · E2A 12FP Cold T5 · 92ERP12548A++ · 12FP · WK 40). Blue cells are inputs; edit them when the plan changes.</t>
  </si>
  <si>
    <t xml:space="preserve">Contract</t>
  </si>
  <si>
    <t xml:space="preserve">Assy Description</t>
  </si>
  <si>
    <t xml:space="preserve">Repeater No.</t>
  </si>
  <si>
    <t xml:space="preserve">No. of Rep to Rel</t>
  </si>
  <si>
    <t xml:space="preserve">Default Qty</t>
  </si>
  <si>
    <t xml:space="preserve">Check</t>
  </si>
  <si>
    <t xml:space="preserve">R5B</t>
  </si>
  <si>
    <t xml:space="preserve">92YLS00548BAA</t>
  </si>
  <si>
    <t xml:space="preserve">R5B LASER ASSEMBLY 4P BOAT 1 - E2A</t>
  </si>
  <si>
    <t xml:space="preserve">1-13</t>
  </si>
  <si>
    <t xml:space="preserve">92YLS00548BBA</t>
  </si>
  <si>
    <t xml:space="preserve">R5B LASER ASSEMBLY 4P BOAT 2/3 - E2A</t>
  </si>
  <si>
    <t xml:space="preserve">91YAF03404AAA</t>
  </si>
  <si>
    <t xml:space="preserve">R5B PSB SUB ASSEMBLY 4P-4FP</t>
  </si>
  <si>
    <t xml:space="preserve">92YFD04548BAA</t>
  </si>
  <si>
    <t xml:space="preserve">R5B OPF ASSEMBLY (4P-4FP) BOAT 1 - E2A</t>
  </si>
  <si>
    <t xml:space="preserve">92YFD04548BBA</t>
  </si>
  <si>
    <t xml:space="preserve">R5B OPF ASSEMBLY (4P-4FP) BOAT 2/3 - E2A</t>
  </si>
  <si>
    <t xml:space="preserve">92YWS04548AAA</t>
  </si>
  <si>
    <t xml:space="preserve">R5B 4FP POB LUMENTUM SUB ASSEMBLY - E2A</t>
  </si>
  <si>
    <t xml:space="preserve">92RRA00548AAA</t>
  </si>
  <si>
    <t xml:space="preserve">R5B ERBIUM SPOOL ASSEMBLY - E2A</t>
  </si>
  <si>
    <t xml:space="preserve">92YRA01548AAA</t>
  </si>
  <si>
    <t xml:space="preserve">R5B ERBIUM ASSEMBLY POSITION 1</t>
  </si>
  <si>
    <t xml:space="preserve">92YRA02548AAA</t>
  </si>
  <si>
    <t xml:space="preserve">R5B ERBIUM ASSEMBLY POSITION 2</t>
  </si>
  <si>
    <t xml:space="preserve">92YRA03548AAA</t>
  </si>
  <si>
    <t xml:space="preserve">R5B ERBIUM ASSEMBLY POSITION 3</t>
  </si>
  <si>
    <t xml:space="preserve">92YRA04548AAA</t>
  </si>
  <si>
    <t xml:space="preserve">R5B ERBIUM ASSEMBLY POSITION 4</t>
  </si>
  <si>
    <t xml:space="preserve">92UAP04548BAA</t>
  </si>
  <si>
    <t xml:space="preserve">R5B BOAT 1 ASSY (4P-4FP)</t>
  </si>
  <si>
    <t xml:space="preserve">92UAP04548BBA</t>
  </si>
  <si>
    <t xml:space="preserve">R5B BOAT 2 ASSY (4P-4FP)</t>
  </si>
  <si>
    <t xml:space="preserve">92UAP04548BCA</t>
  </si>
  <si>
    <t xml:space="preserve">R5B BOAT 3 ASSY (4P-4FP)</t>
  </si>
  <si>
    <t xml:space="preserve">Contract details shown on the Dashboard</t>
  </si>
  <si>
    <t xml:space="preserve">Program</t>
  </si>
  <si>
    <t xml:space="preserve">E2A 12FP Cold T5</t>
  </si>
  <si>
    <t xml:space="preserve">ERP item</t>
  </si>
  <si>
    <t xml:space="preserve">92ERP12548A++</t>
  </si>
  <si>
    <t xml:space="preserve">Config</t>
  </si>
  <si>
    <t xml:space="preserve">12FP</t>
  </si>
  <si>
    <t xml:space="preserve">Kitting week</t>
  </si>
  <si>
    <t xml:space="preserve">WK 40</t>
  </si>
  <si>
    <t xml:space="preserve">Repeaters</t>
  </si>
  <si>
    <t xml:space="preserve">1-13 · 1 to release</t>
  </si>
  <si>
    <t xml:space="preserve">Type the WO number and pick the assy code. Quantity fills in automatically from the kitting plan (release qty, or default qty when a single repeater is chosen).</t>
  </si>
  <si>
    <t xml:space="preserve">Blue columns = you type. Grey columns = automatic. Use 'Qty Override' only when the WO quantity differs from the plan.</t>
  </si>
  <si>
    <t xml:space="preserve">Blank = All</t>
  </si>
  <si>
    <t xml:space="preserve">Leave blank to use Listed Qty</t>
  </si>
  <si>
    <t xml:space="preserve">Blank = Planned</t>
  </si>
  <si>
    <t xml:space="preserve">WO No.</t>
  </si>
  <si>
    <t xml:space="preserve">Repeater</t>
  </si>
  <si>
    <t xml:space="preserve">Listed Qty</t>
  </si>
  <si>
    <t xml:space="preserve">Qty Override</t>
  </si>
  <si>
    <t xml:space="preserve">Release Date</t>
  </si>
  <si>
    <t xml:space="preserve">Remarks</t>
  </si>
  <si>
    <t xml:space="preserve">Flag</t>
  </si>
  <si>
    <t xml:space="preserve">HOW TO USE THIS WORKBOOK</t>
  </si>
  <si>
    <t xml:space="preserve">For the team</t>
  </si>
  <si>
    <t xml:space="preserve">1. Add a work order</t>
  </si>
  <si>
    <t xml:space="preserve">Go to 'Work Orders'. Type the WO number in column A and pick the assy code in column B. Description, sequence and quantity fill in by themselves.</t>
  </si>
  <si>
    <t xml:space="preserve">2. Quantity</t>
  </si>
  <si>
    <t xml:space="preserve">WO Qty = the listed qty from the kitting plan (e.g. 24 for 92RRA00548AAA, 2 for 92YLS00548BBA). Pick the repeater (1–13) the WO belongs to, or leave it blank for the repeater being released. Type in 'Qty Override' only if the WO is for a different quantity.</t>
  </si>
  <si>
    <t xml:space="preserve">3. Update status</t>
  </si>
  <si>
    <t xml:space="preserve">Change 'Status' as the WO moves: Planned → Released → Kitted → Closed. Blank counts as Planned.</t>
  </si>
  <si>
    <t xml:space="preserve">Example entry</t>
  </si>
  <si>
    <t xml:space="preserve">WO No. = WO-4012871 · Assy Code = 92YLS00548BAA · Repeater = 5 · Qty Override = (blank) · Status = Released</t>
  </si>
  <si>
    <t xml:space="preserve">Flags</t>
  </si>
  <si>
    <t xml:space="preserve">Column L on 'Work Orders' warns about duplicate WO numbers, missing codes or codes not in the plan.</t>
  </si>
  <si>
    <t xml:space="preserve">For management</t>
  </si>
  <si>
    <t xml:space="preserve">Dashboard</t>
  </si>
  <si>
    <t xml:space="preserve">Shows the whole plan on one screen: totals at the top, coverage by sequence, the WO pipeline, and every assembly with its WOs.</t>
  </si>
  <si>
    <t xml:space="preserve">Read the Status column</t>
  </si>
  <si>
    <t xml:space="preserve">NO WO = nothing raised yet · SHORT n = WOs cover less than required (n units missing) · COVERED = WO qty matches · OVER = more WO qty than required.</t>
  </si>
  <si>
    <t xml:space="preserve">Trace a WO</t>
  </si>
  <si>
    <t xml:space="preserve">The 'Work Order Nos.' column lists every WO on each assy code. To go the other way, filter column A on 'Work Orders'.</t>
  </si>
  <si>
    <t xml:space="preserve">Switch repeater view</t>
  </si>
  <si>
    <t xml:space="preserve">Pick All or a repeater number 1–13 in the pink cell at the top right of the Dashboard. 'All' checks every WO against the release qty; a number shows only that repeater's WOs (plus WOs left blank/All).</t>
  </si>
  <si>
    <t xml:space="preserve">Projecting on a screen</t>
  </si>
  <si>
    <t xml:space="preserve">Open the Dashboard tab and press Ctrl+F1 to hide the ribbon. The dashboard fits one landscape screen; adjust zoom to your projector if needed. Excel recalculates as soon as anyone adds a WO.</t>
  </si>
  <si>
    <t xml:space="preserve">Live sharing</t>
  </si>
  <si>
    <t xml:space="preserve">Save the file on SharePoint / OneDrive / Teams so several people can edit while the dashboard is on screen.</t>
  </si>
  <si>
    <t xml:space="preserve">Changing the plan</t>
  </si>
  <si>
    <t xml:space="preserve">Edit the blue cells on 'Kitting Plan' (codes, release qty, default qty). The Dashboard and WO lookups follow automatically.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</si>
</sst>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%"/>
    <numFmt numFmtId="168" formatCode="General"/>
    <numFmt numFmtId="169" formatCode=";;;"/>
    <numFmt numFmtId="170" formatCode="#,##0.#;\-#,##0.#;0"/>
    <numFmt numFmtId="171" formatCode="dd\-mmm\-yy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Arial"/>
      <family val="0"/>
      <charset val="1"/>
    </font>
    <font>
      <b val="true"/>
      <sz val="11"/>
      <color rgb="FFAEB6C6"/>
      <name val="Arial"/>
      <family val="0"/>
      <charset val="1"/>
    </font>
    <font>
      <b val="true"/>
      <sz val="20"/>
      <color rgb="FFFFFFFF"/>
      <name val="Arial"/>
      <family val="0"/>
      <charset val="1"/>
    </font>
    <font>
      <sz val="10"/>
      <color rgb="FFAEB6C6"/>
      <name val="Arial"/>
      <family val="0"/>
      <charset val="1"/>
    </font>
    <font>
      <sz val="12"/>
      <color rgb="FFAEB6C6"/>
      <name val="Arial"/>
      <family val="0"/>
      <charset val="1"/>
    </font>
    <font>
      <i val="true"/>
      <sz val="9"/>
      <color rgb="FFAEB6C6"/>
      <name val="Arial"/>
      <family val="0"/>
      <charset val="1"/>
    </font>
    <font>
      <b val="true"/>
      <sz val="10"/>
      <color rgb="FF5D6576"/>
      <name val="Arial"/>
      <family val="0"/>
      <charset val="1"/>
    </font>
    <font>
      <b val="true"/>
      <sz val="30"/>
      <color rgb="FF141A26"/>
      <name val="Arial"/>
      <family val="0"/>
      <charset val="1"/>
    </font>
    <font>
      <sz val="9"/>
      <color rgb="FF5D6576"/>
      <name val="Arial"/>
      <family val="0"/>
      <charset val="1"/>
    </font>
    <font>
      <b val="true"/>
      <sz val="14"/>
      <color rgb="FF141A2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E2433"/>
      <name val="Arial"/>
      <family val="0"/>
      <charset val="1"/>
    </font>
    <font>
      <sz val="11"/>
      <color rgb="FF1E2433"/>
      <name val="Arial"/>
      <family val="0"/>
      <charset val="1"/>
    </font>
    <font>
      <b val="true"/>
      <sz val="11"/>
      <color rgb="FF5D6576"/>
      <name val="Arial"/>
      <family val="0"/>
      <charset val="1"/>
    </font>
    <font>
      <sz val="11"/>
      <color rgb="FF5D6576"/>
      <name val="Arial"/>
      <family val="0"/>
      <charset val="1"/>
    </font>
    <font>
      <sz val="10"/>
      <color rgb="FF5D6576"/>
      <name val="Arial"/>
      <family val="0"/>
      <charset val="1"/>
    </font>
    <font>
      <b val="true"/>
      <sz val="11"/>
      <color rgb="FF3558B8"/>
      <name val="Arial"/>
      <family val="0"/>
      <charset val="1"/>
    </font>
    <font>
      <b val="true"/>
      <sz val="11"/>
      <color rgb="FFA8660B"/>
      <name val="Arial"/>
      <family val="0"/>
      <charset val="1"/>
    </font>
    <font>
      <b val="true"/>
      <sz val="11"/>
      <color rgb="FF1F8A5B"/>
      <name val="Arial"/>
      <family val="0"/>
      <charset val="1"/>
    </font>
    <font>
      <b val="true"/>
      <sz val="10"/>
      <color rgb="FFA8660B"/>
      <name val="Arial"/>
      <family val="0"/>
      <charset val="1"/>
    </font>
    <font>
      <i val="true"/>
      <sz val="9"/>
      <color rgb="FF5D6576"/>
      <name val="Arial"/>
      <family val="0"/>
      <charset val="1"/>
    </font>
    <font>
      <b val="true"/>
      <sz val="12"/>
      <color rgb="FF1E2433"/>
      <name val="Arial"/>
      <family val="0"/>
      <charset val="1"/>
    </font>
    <font>
      <sz val="10"/>
      <color rgb="FF1E2433"/>
      <name val="Arial"/>
      <family val="0"/>
      <charset val="1"/>
    </font>
    <font>
      <b val="true"/>
      <sz val="16"/>
      <color rgb="FF141A26"/>
      <name val="Arial"/>
      <family val="0"/>
      <charset val="1"/>
    </font>
    <font>
      <i val="true"/>
      <sz val="10"/>
      <color rgb="FF5D657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41A26"/>
      <name val="Arial"/>
      <family val="0"/>
      <charset val="1"/>
    </font>
    <font>
      <i val="true"/>
      <sz val="8"/>
      <color rgb="FF5D6576"/>
      <name val="Arial"/>
      <family val="0"/>
      <charset val="1"/>
    </font>
    <font>
      <b val="true"/>
      <sz val="10"/>
      <color rgb="FF1E2433"/>
      <name val="Arial"/>
      <family val="0"/>
      <charset val="1"/>
    </font>
    <font>
      <b val="true"/>
      <sz val="18"/>
      <color rgb="FF141A26"/>
      <name val="Arial"/>
      <family val="0"/>
      <charset val="1"/>
    </font>
    <font>
      <b val="true"/>
      <sz val="12"/>
      <color rgb="FFB0245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41A26"/>
        <bgColor rgb="FF1E2433"/>
      </patternFill>
    </fill>
    <fill>
      <patternFill patternType="solid">
        <fgColor rgb="FFB0245E"/>
        <bgColor rgb="FF993366"/>
      </patternFill>
    </fill>
    <fill>
      <patternFill patternType="solid">
        <fgColor rgb="FFF3F4F7"/>
        <bgColor rgb="FFECEEF3"/>
      </patternFill>
    </fill>
    <fill>
      <patternFill patternType="solid">
        <fgColor rgb="FF1E2433"/>
        <bgColor rgb="FF141A26"/>
      </patternFill>
    </fill>
    <fill>
      <patternFill patternType="solid">
        <fgColor rgb="FFECEEF3"/>
        <bgColor rgb="FFE6ECFA"/>
      </patternFill>
    </fill>
    <fill>
      <patternFill patternType="solid">
        <fgColor rgb="FFE6ECFA"/>
        <bgColor rgb="FFECEEF3"/>
      </patternFill>
    </fill>
    <fill>
      <patternFill patternType="solid">
        <fgColor rgb="FFFBF0DC"/>
        <bgColor rgb="FFFBE6E3"/>
      </patternFill>
    </fill>
    <fill>
      <patternFill patternType="solid">
        <fgColor rgb="FFE3F4EC"/>
        <bgColor rgb="FFECEE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ck">
        <color rgb="FFB0245E"/>
      </left>
      <right/>
      <top/>
      <bottom/>
      <diagonal/>
    </border>
    <border diagonalUp="false" diagonalDown="false">
      <left/>
      <right/>
      <top/>
      <bottom style="thin">
        <color rgb="FFD9DDE5"/>
      </bottom>
      <diagonal/>
    </border>
    <border diagonalUp="false" diagonalDown="false"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name val="Arial"/>
        <charset val="1"/>
        <family val="0"/>
        <b val="1"/>
        <color rgb="FF5D6576"/>
      </font>
      <fill>
        <patternFill>
          <bgColor rgb="FFECEEF3"/>
        </patternFill>
      </fill>
    </dxf>
    <dxf>
      <font>
        <name val="Arial"/>
        <charset val="1"/>
        <family val="0"/>
        <b val="1"/>
        <color rgb="FFA8660B"/>
      </font>
      <fill>
        <patternFill>
          <bgColor rgb="FFFBF0DC"/>
        </patternFill>
      </fill>
    </dxf>
    <dxf>
      <font>
        <name val="Arial"/>
        <charset val="1"/>
        <family val="0"/>
        <b val="1"/>
        <color rgb="FF1F8A5B"/>
      </font>
      <fill>
        <patternFill>
          <bgColor rgb="FFE3F4EC"/>
        </patternFill>
      </fill>
    </dxf>
    <dxf>
      <font>
        <name val="Arial"/>
        <charset val="1"/>
        <family val="0"/>
        <b val="1"/>
        <color rgb="FFC0392B"/>
      </font>
      <fill>
        <patternFill>
          <bgColor rgb="FFFBE6E3"/>
        </patternFill>
      </fill>
    </dxf>
    <dxf>
      <font>
        <name val="Arial"/>
        <charset val="1"/>
        <family val="0"/>
        <b val="1"/>
        <color rgb="FFA8660B"/>
        <sz val="9"/>
      </font>
      <fill>
        <patternFill>
          <bgColor rgb="FFFBF0DC"/>
        </patternFill>
      </fill>
    </dxf>
    <dxf>
      <font>
        <name val="Arial"/>
        <charset val="1"/>
        <family val="0"/>
        <color rgb="FFC3C8D2"/>
      </font>
    </dxf>
    <dxf>
      <font>
        <name val="Arial"/>
        <charset val="1"/>
        <family val="0"/>
        <b val="1"/>
        <color rgb="FFA8660B"/>
        <sz val="30"/>
      </font>
    </dxf>
    <dxf>
      <fill>
        <patternFill patternType="solid">
          <fgColor rgb="FFB0245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41A26"/>
          <bgColor rgb="FF000000"/>
        </patternFill>
      </fill>
    </dxf>
    <dxf>
      <fill>
        <patternFill patternType="solid">
          <fgColor rgb="FF5D6576"/>
          <bgColor rgb="FF000000"/>
        </patternFill>
      </fill>
    </dxf>
    <dxf>
      <fill>
        <patternFill patternType="solid">
          <fgColor rgb="FF1E2433"/>
          <bgColor rgb="FF000000"/>
        </patternFill>
      </fill>
    </dxf>
    <dxf>
      <font>
        <name val="Arial"/>
        <charset val="1"/>
        <family val="0"/>
        <b val="1"/>
        <color rgb="FF3558B8"/>
      </font>
      <fill>
        <patternFill>
          <bgColor rgb="FFE6EC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60B"/>
      <rgbColor rgb="FF800080"/>
      <rgbColor rgb="FF008080"/>
      <rgbColor rgb="FFC3C8D2"/>
      <rgbColor rgb="FF808080"/>
      <rgbColor rgb="FF9999FF"/>
      <rgbColor rgb="FFB0245E"/>
      <rgbColor rgb="FFFBF0DC"/>
      <rgbColor rgb="FFE3F4EC"/>
      <rgbColor rgb="FF660066"/>
      <rgbColor rgb="FFFF8080"/>
      <rgbColor rgb="FF0066CC"/>
      <rgbColor rgb="FFD9D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CFA"/>
      <rgbColor rgb="FFECEEF3"/>
      <rgbColor rgb="FFFBE6E3"/>
      <rgbColor rgb="FFAEB6C6"/>
      <rgbColor rgb="FFFF99CC"/>
      <rgbColor rgb="FFCC99FF"/>
      <rgbColor rgb="FFF3F4F7"/>
      <rgbColor rgb="FF3558B8"/>
      <rgbColor rgb="FF33CCCC"/>
      <rgbColor rgb="FF99CC00"/>
      <rgbColor rgb="FFFFCC00"/>
      <rgbColor rgb="FFFF9900"/>
      <rgbColor rgb="FFFF6600"/>
      <rgbColor rgb="FF5D6576"/>
      <rgbColor rgb="FF969696"/>
      <rgbColor rgb="FF003366"/>
      <rgbColor rgb="FF1F8A5B"/>
      <rgbColor rgb="FF141A26"/>
      <rgbColor rgb="FF333300"/>
      <rgbColor rgb="FFC0392B"/>
      <rgbColor rgb="FF993366"/>
      <rgbColor rgb="FF333399"/>
      <rgbColor rgb="FF1E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P34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3" min="13" style="0" width="34"/>
    <col collapsed="false" customWidth="true" hidden="false" outlineLevel="0" max="14" min="14" style="0" width="24"/>
    <col collapsed="false" customWidth="true" hidden="false" outlineLevel="0" max="15" min="15" style="0" width="3"/>
    <col collapsed="false" customWidth="true" hidden="true" outlineLevel="0" max="16" min="16" style="0" width="3"/>
  </cols>
  <sheetData>
    <row r="1" customFormat="false" ht="15" hidden="false" customHeight="false" outlineLevel="0" collapsed="false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9.75" hidden="false" customHeight="true" outlineLevel="0" collapsed="false"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3" t="s">
        <v>1</v>
      </c>
      <c r="M2" s="4" t="s">
        <v>2</v>
      </c>
      <c r="N2" s="5" t="str">
        <f aca="false">IF(M2="All","Required = release qty","Required = default qty for rep "&amp;M2)</f>
        <v>Required = release qty</v>
      </c>
    </row>
    <row r="3" customFormat="false" ht="21.75" hidden="false" customHeight="true" outlineLevel="0" collapsed="false">
      <c r="B3" s="6" t="str">
        <f aca="false">"Contract "&amp;'Kitting Plan'!B21&amp;"   ·   "&amp;'Kitting Plan'!B22&amp;"   ·   "&amp;'Kitting Plan'!B23&amp;"   ·   "&amp;'Kitting Plan'!B24&amp;"   ·   Repeaters "&amp;'Kitting Plan'!B26</f>
        <v>Contract R5B   ·   E2A 12FP Cold T5   ·   92ERP12548A++   ·   12FP   ·   Repeaters 1-13 · 1 to release</v>
      </c>
      <c r="C3" s="1"/>
      <c r="D3" s="1"/>
      <c r="E3" s="1"/>
      <c r="F3" s="1"/>
      <c r="G3" s="1"/>
      <c r="H3" s="1"/>
      <c r="I3" s="1"/>
      <c r="J3" s="1"/>
      <c r="K3" s="1"/>
      <c r="L3" s="1"/>
      <c r="M3" s="7" t="s">
        <v>3</v>
      </c>
      <c r="N3" s="1"/>
    </row>
    <row r="4" customFormat="false" ht="15" hidden="false" customHeight="fals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6" customFormat="false" ht="21.75" hidden="false" customHeight="true" outlineLevel="0" collapsed="false">
      <c r="B6" s="8" t="s">
        <v>4</v>
      </c>
      <c r="C6" s="8"/>
      <c r="D6" s="8" t="s">
        <v>5</v>
      </c>
      <c r="E6" s="8" t="s">
        <v>6</v>
      </c>
      <c r="F6" s="8"/>
      <c r="G6" s="8"/>
      <c r="H6" s="8" t="s">
        <v>7</v>
      </c>
      <c r="I6" s="8"/>
      <c r="J6" s="8" t="s">
        <v>8</v>
      </c>
      <c r="K6" s="8"/>
      <c r="L6" s="8" t="s">
        <v>9</v>
      </c>
      <c r="M6" s="8"/>
      <c r="N6" s="8"/>
    </row>
    <row r="7" customFormat="false" ht="45.75" hidden="false" customHeight="true" outlineLevel="0" collapsed="false">
      <c r="B7" s="9" t="n">
        <f aca="false">COUNTA(C21:C34)</f>
        <v>14</v>
      </c>
      <c r="C7" s="9"/>
      <c r="D7" s="10" t="n">
        <f aca="false">SUM(G21:G34)</f>
        <v>51</v>
      </c>
      <c r="E7" s="11" t="n">
        <f aca="false">IF(SUM(G21:G34)=0,0,SUM(P21:P34)/SUM(G21:G34))</f>
        <v>0</v>
      </c>
      <c r="F7" s="11"/>
      <c r="G7" s="11"/>
      <c r="H7" s="9" t="n">
        <f aca="false">COUNTIF('Work Orders'!$A$6:$A$505,"?*")</f>
        <v>0</v>
      </c>
      <c r="I7" s="9"/>
      <c r="J7" s="9" t="n">
        <f aca="false">COUNTIF(J21:J34,"SHORT*")+COUNTIF(J21:J34,"OVER")</f>
        <v>0</v>
      </c>
      <c r="K7" s="9"/>
      <c r="L7" s="9" t="n">
        <f aca="false">COUNTIF(N21:N34,"CHECK*")+COUNTIF('Work Orders'!$L$6:$L$505,"?*")</f>
        <v>0</v>
      </c>
      <c r="M7" s="9"/>
      <c r="N7" s="9"/>
    </row>
    <row r="8" customFormat="false" ht="21.75" hidden="false" customHeight="true" outlineLevel="0" collapsed="false">
      <c r="B8" s="12" t="str">
        <f aca="false">"6 sequences · "&amp;COUNTIF(J21:J34,"COVERED")&amp;" fully covered"</f>
        <v>6 sequences · 0 fully covered</v>
      </c>
      <c r="C8" s="12"/>
      <c r="D8" s="12" t="str">
        <f aca="false">IF($M$2="All","units · release across 1 repeater","units · default qty, repeater "&amp;$M$2)</f>
        <v>units · release across 1 repeater</v>
      </c>
      <c r="E8" s="12" t="str">
        <f aca="false">TEXT(SUM(P21:P34),"#,##0")&amp;" of "&amp;TEXT(SUM(G21:G34),"#,##0")&amp;" units on WOs"</f>
        <v>0 of 51 units on WOs</v>
      </c>
      <c r="F8" s="12"/>
      <c r="G8" s="12"/>
      <c r="H8" s="12" t="str">
        <f aca="false">COUNTIFS('Work Orders'!$A$6:$A$505,"?*",'Work Orders'!$I$6:$I$505,"Closed")&amp;" closed · "&amp;COUNTIF(J21:J34,"NO WO")&amp;" codes with no WO"</f>
        <v>0 closed · 14 codes with no WO</v>
      </c>
      <c r="I8" s="12"/>
      <c r="J8" s="12" t="str">
        <f aca="false">COUNTIF(J21:J34,"SHORT*")&amp;" short · "&amp;COUNTIF(J21:J34,"OVER")&amp;" over"</f>
        <v>0 short · 0 over</v>
      </c>
      <c r="K8" s="12"/>
      <c r="L8" s="12" t="str">
        <f aca="false">COUNTIF(N21:N34,"CHECK*")&amp;" plan qty checks · "&amp;COUNTIF('Work Orders'!$L$6:$L$505,"?*")&amp;" WO entry flags"</f>
        <v>0 plan qty checks · 0 WO entry flags</v>
      </c>
      <c r="M8" s="12"/>
      <c r="N8" s="12"/>
    </row>
    <row r="10" customFormat="false" ht="17.35" hidden="false" customHeight="false" outlineLevel="0" collapsed="false">
      <c r="B10" s="13" t="s">
        <v>10</v>
      </c>
      <c r="I10" s="13" t="s">
        <v>11</v>
      </c>
    </row>
    <row r="11" customFormat="false" ht="15" hidden="false" customHeight="true" outlineLevel="0" collapsed="false">
      <c r="B11" s="14" t="s">
        <v>12</v>
      </c>
      <c r="C11" s="14" t="s">
        <v>13</v>
      </c>
      <c r="D11" s="14" t="s">
        <v>14</v>
      </c>
      <c r="E11" s="14" t="s">
        <v>15</v>
      </c>
      <c r="F11" s="14" t="s">
        <v>16</v>
      </c>
      <c r="G11" s="14" t="s">
        <v>17</v>
      </c>
      <c r="I11" s="14" t="s">
        <v>18</v>
      </c>
      <c r="J11" s="14" t="s">
        <v>19</v>
      </c>
      <c r="K11" s="14" t="s">
        <v>20</v>
      </c>
      <c r="L11" s="15" t="s">
        <v>21</v>
      </c>
      <c r="M11" s="15"/>
      <c r="N11" s="15"/>
    </row>
    <row r="12" customFormat="false" ht="21.75" hidden="false" customHeight="true" outlineLevel="0" collapsed="false">
      <c r="B12" s="16" t="s">
        <v>22</v>
      </c>
      <c r="C12" s="17" t="n">
        <f aca="false">COUNTIF($B$21:$B$34,B12)</f>
        <v>2</v>
      </c>
      <c r="D12" s="18" t="n">
        <f aca="false">G12</f>
        <v>0</v>
      </c>
      <c r="E12" s="17" t="n">
        <f aca="false">SUMIFS($G$21:$G$34,$B$21:$B$34,B12)</f>
        <v>3</v>
      </c>
      <c r="F12" s="19" t="n">
        <f aca="false">SUMIFS($P$21:$P$34,$B$21:$B$34,B12)</f>
        <v>0</v>
      </c>
      <c r="G12" s="20" t="n">
        <f aca="false">IF(E12=0,0,F12/E12)</f>
        <v>0</v>
      </c>
      <c r="I12" s="21" t="s">
        <v>23</v>
      </c>
      <c r="J12" s="22" t="n">
        <f aca="false">COUNTIFS('Work Orders'!$A$6:$A$505,"?*",'Work Orders'!$I$6:$I$505,"Planned")+COUNTIFS('Work Orders'!$A$6:$A$505,"?*",'Work Orders'!$I$6:$I$505,"")</f>
        <v>0</v>
      </c>
      <c r="K12" s="23" t="n">
        <f aca="false">SUMIFS('Work Orders'!$H$6:$H$505,'Work Orders'!$A$6:$A$505,"?*",'Work Orders'!$I$6:$I$505,"Planned")+SUMIFS('Work Orders'!$H$6:$H$505,'Work Orders'!$A$6:$A$505,"?*",'Work Orders'!$I$6:$I$505,"")</f>
        <v>0</v>
      </c>
      <c r="L12" s="24" t="n">
        <f aca="false">IF($H$7=0,0,J12/$H$7)</f>
        <v>0</v>
      </c>
      <c r="M12" s="24"/>
      <c r="N12" s="24"/>
    </row>
    <row r="13" customFormat="false" ht="21.75" hidden="false" customHeight="true" outlineLevel="0" collapsed="false">
      <c r="B13" s="16" t="s">
        <v>24</v>
      </c>
      <c r="C13" s="17" t="n">
        <f aca="false">COUNTIF($B$21:$B$34,B13)</f>
        <v>1</v>
      </c>
      <c r="D13" s="18" t="n">
        <f aca="false">G13</f>
        <v>0</v>
      </c>
      <c r="E13" s="17" t="n">
        <f aca="false">SUMIFS($G$21:$G$34,$B$21:$B$34,B13)</f>
        <v>3</v>
      </c>
      <c r="F13" s="19" t="n">
        <f aca="false">SUMIFS($P$21:$P$34,$B$21:$B$34,B13)</f>
        <v>0</v>
      </c>
      <c r="G13" s="20" t="n">
        <f aca="false">IF(E13=0,0,F13/E13)</f>
        <v>0</v>
      </c>
      <c r="I13" s="25" t="s">
        <v>25</v>
      </c>
      <c r="J13" s="22" t="n">
        <f aca="false">COUNTIFS('Work Orders'!$A$6:$A$505,"?*",'Work Orders'!$I$6:$I$505,"Released")</f>
        <v>0</v>
      </c>
      <c r="K13" s="23" t="n">
        <f aca="false">SUMIFS('Work Orders'!$H$6:$H$505,'Work Orders'!$A$6:$A$505,"?*",'Work Orders'!$I$6:$I$505,"Released")</f>
        <v>0</v>
      </c>
      <c r="L13" s="24" t="n">
        <f aca="false">IF($H$7=0,0,J13/$H$7)</f>
        <v>0</v>
      </c>
      <c r="M13" s="24"/>
      <c r="N13" s="24"/>
    </row>
    <row r="14" customFormat="false" ht="21.75" hidden="false" customHeight="true" outlineLevel="0" collapsed="false">
      <c r="B14" s="16" t="s">
        <v>26</v>
      </c>
      <c r="C14" s="17" t="n">
        <f aca="false">COUNTIF($B$21:$B$34,B14)</f>
        <v>2</v>
      </c>
      <c r="D14" s="18" t="n">
        <f aca="false">G14</f>
        <v>0</v>
      </c>
      <c r="E14" s="17" t="n">
        <f aca="false">SUMIFS($G$21:$G$34,$B$21:$B$34,B14)</f>
        <v>3</v>
      </c>
      <c r="F14" s="19" t="n">
        <f aca="false">SUMIFS($P$21:$P$34,$B$21:$B$34,B14)</f>
        <v>0</v>
      </c>
      <c r="G14" s="20" t="n">
        <f aca="false">IF(E14=0,0,F14/E14)</f>
        <v>0</v>
      </c>
      <c r="I14" s="26" t="s">
        <v>27</v>
      </c>
      <c r="J14" s="22" t="n">
        <f aca="false">COUNTIFS('Work Orders'!$A$6:$A$505,"?*",'Work Orders'!$I$6:$I$505,"Kitted")</f>
        <v>0</v>
      </c>
      <c r="K14" s="23" t="n">
        <f aca="false">SUMIFS('Work Orders'!$H$6:$H$505,'Work Orders'!$A$6:$A$505,"?*",'Work Orders'!$I$6:$I$505,"Kitted")</f>
        <v>0</v>
      </c>
      <c r="L14" s="24" t="n">
        <f aca="false">IF($H$7=0,0,J14/$H$7)</f>
        <v>0</v>
      </c>
      <c r="M14" s="24"/>
      <c r="N14" s="24"/>
    </row>
    <row r="15" customFormat="false" ht="21.75" hidden="false" customHeight="true" outlineLevel="0" collapsed="false">
      <c r="B15" s="16" t="s">
        <v>28</v>
      </c>
      <c r="C15" s="17" t="n">
        <f aca="false">COUNTIF($B$21:$B$34,B15)</f>
        <v>1</v>
      </c>
      <c r="D15" s="18" t="n">
        <f aca="false">G15</f>
        <v>0</v>
      </c>
      <c r="E15" s="17" t="n">
        <f aca="false">SUMIFS($G$21:$G$34,$B$21:$B$34,B15)</f>
        <v>3</v>
      </c>
      <c r="F15" s="19" t="n">
        <f aca="false">SUMIFS($P$21:$P$34,$B$21:$B$34,B15)</f>
        <v>0</v>
      </c>
      <c r="G15" s="20" t="n">
        <f aca="false">IF(E15=0,0,F15/E15)</f>
        <v>0</v>
      </c>
      <c r="I15" s="27" t="s">
        <v>29</v>
      </c>
      <c r="J15" s="22" t="n">
        <f aca="false">COUNTIFS('Work Orders'!$A$6:$A$505,"?*",'Work Orders'!$I$6:$I$505,"Closed")</f>
        <v>0</v>
      </c>
      <c r="K15" s="23" t="n">
        <f aca="false">SUMIFS('Work Orders'!$H$6:$H$505,'Work Orders'!$A$6:$A$505,"?*",'Work Orders'!$I$6:$I$505,"Closed")</f>
        <v>0</v>
      </c>
      <c r="L15" s="24" t="n">
        <f aca="false">IF($H$7=0,0,J15/$H$7)</f>
        <v>0</v>
      </c>
      <c r="M15" s="24"/>
      <c r="N15" s="24"/>
    </row>
    <row r="16" customFormat="false" ht="21.75" hidden="false" customHeight="true" outlineLevel="0" collapsed="false">
      <c r="B16" s="16" t="s">
        <v>30</v>
      </c>
      <c r="C16" s="17" t="n">
        <f aca="false">COUNTIF($B$21:$B$34,B16)</f>
        <v>5</v>
      </c>
      <c r="D16" s="18" t="n">
        <f aca="false">G16</f>
        <v>0</v>
      </c>
      <c r="E16" s="17" t="n">
        <f aca="false">SUMIFS($G$21:$G$34,$B$21:$B$34,B16)</f>
        <v>36</v>
      </c>
      <c r="F16" s="19" t="n">
        <f aca="false">SUMIFS($P$21:$P$34,$B$21:$B$34,B16)</f>
        <v>0</v>
      </c>
      <c r="G16" s="20" t="n">
        <f aca="false">IF(E16=0,0,F16/E16)</f>
        <v>0</v>
      </c>
      <c r="I16" s="28" t="s">
        <v>31</v>
      </c>
      <c r="J16" s="29" t="n">
        <f aca="false">SUM(J12:J15)</f>
        <v>0</v>
      </c>
      <c r="K16" s="29" t="n">
        <f aca="false">SUM(K12:K15)</f>
        <v>0</v>
      </c>
    </row>
    <row r="17" customFormat="false" ht="24" hidden="false" customHeight="true" outlineLevel="0" collapsed="false">
      <c r="B17" s="16" t="s">
        <v>32</v>
      </c>
      <c r="C17" s="17" t="n">
        <f aca="false">COUNTIF($B$21:$B$34,B17)</f>
        <v>3</v>
      </c>
      <c r="D17" s="18" t="n">
        <f aca="false">G17</f>
        <v>0</v>
      </c>
      <c r="E17" s="17" t="n">
        <f aca="false">SUMIFS($G$21:$G$34,$B$21:$B$34,B17)</f>
        <v>3</v>
      </c>
      <c r="F17" s="19" t="n">
        <f aca="false">SUMIFS($P$21:$P$34,$B$21:$B$34,B17)</f>
        <v>0</v>
      </c>
      <c r="G17" s="20" t="n">
        <f aca="false">IF(E17=0,0,F17/E17)</f>
        <v>0</v>
      </c>
      <c r="I17" s="30" t="str">
        <f aca="false">IF(COUNTIF(N21:N34,"CHECK*")=0,"✓ Every release qty = default qty × repeaters","⚠ "&amp;COUNTIF(N21:N34,"CHECK*")&amp;" code(s): release qty ≠ default × repeaters — see Plan Check column")</f>
        <v>✓ Every release qty = default qty × repeaters</v>
      </c>
      <c r="J17" s="30"/>
      <c r="K17" s="30"/>
      <c r="L17" s="30"/>
      <c r="M17" s="30"/>
      <c r="N17" s="30"/>
    </row>
    <row r="19" customFormat="false" ht="25.5" hidden="false" customHeight="true" outlineLevel="0" collapsed="false">
      <c r="B19" s="13" t="s">
        <v>33</v>
      </c>
      <c r="D19" s="31" t="s">
        <v>34</v>
      </c>
    </row>
    <row r="20" customFormat="false" ht="30" hidden="false" customHeight="true" outlineLevel="0" collapsed="false">
      <c r="B20" s="32" t="s">
        <v>12</v>
      </c>
      <c r="C20" s="32" t="s">
        <v>35</v>
      </c>
      <c r="D20" s="32" t="s">
        <v>36</v>
      </c>
      <c r="E20" s="32" t="s">
        <v>37</v>
      </c>
      <c r="F20" s="32" t="s">
        <v>38</v>
      </c>
      <c r="G20" s="32" t="s">
        <v>15</v>
      </c>
      <c r="H20" s="32" t="s">
        <v>16</v>
      </c>
      <c r="I20" s="32" t="s">
        <v>14</v>
      </c>
      <c r="J20" s="32" t="s">
        <v>18</v>
      </c>
      <c r="K20" s="32" t="s">
        <v>19</v>
      </c>
      <c r="L20" s="32" t="s">
        <v>39</v>
      </c>
      <c r="M20" s="32" t="s">
        <v>40</v>
      </c>
      <c r="N20" s="32" t="s">
        <v>41</v>
      </c>
    </row>
    <row r="21" customFormat="false" ht="24" hidden="false" customHeight="true" outlineLevel="0" collapsed="false">
      <c r="B21" s="33" t="str">
        <f aca="false">'Kitting Plan'!B5</f>
        <v>LASER ASSY</v>
      </c>
      <c r="C21" s="16" t="str">
        <f aca="false">'Kitting Plan'!C5</f>
        <v>92YLS00548BAA</v>
      </c>
      <c r="D21" s="34" t="str">
        <f aca="false">'Kitting Plan'!D5</f>
        <v>R5B LASER ASSEMBLY 4P BOAT 1 - E2A</v>
      </c>
      <c r="E21" s="17" t="n">
        <f aca="false">'Kitting Plan'!E5</f>
        <v>1</v>
      </c>
      <c r="F21" s="17" t="n">
        <f aca="false">'Kitting Plan'!H5</f>
        <v>1</v>
      </c>
      <c r="G21" s="35" t="n">
        <f aca="false">IF($M$2="All",E21,F21)</f>
        <v>1</v>
      </c>
      <c r="H21" s="36" t="n">
        <f aca="false">IF($M$2="All",SUMIFS('Work Orders'!$H$6:$H$505,'Work Orders'!$B$6:$B$505,C21),SUMIFS('Work Orders'!$H$6:$H$505,'Work Orders'!$B$6:$B$505,C21,'Work Orders'!$E$6:$E$505,$M$2)+(SUMIFS('Work Orders'!$H$6:$H$505,'Work Orders'!$B$6:$B$505,C21,'Work Orders'!$E$6:$E$505,"All")+SUMIFS('Work Orders'!$H$6:$H$505,'Work Orders'!$B$6:$B$505,C21,'Work Orders'!$E$6:$E$505,""))/'Kitting Plan'!G5)</f>
        <v>0</v>
      </c>
      <c r="I21" s="37" t="n">
        <f aca="false">IF(G21=0,0,H21/G21)</f>
        <v>0</v>
      </c>
      <c r="J21" s="38" t="str">
        <f aca="false">IF(H21=0,"NO WO",IF(H21&gt;G21+0.0001,"OVER",IF(H21&gt;=G21-0.0001,"COVERED","SHORT "&amp;ROUND(G21-H21,1))))</f>
        <v>NO WO</v>
      </c>
      <c r="K21" s="17" t="n">
        <f aca="false">COUNTIFS('Work Orders'!$B$6:$B$505,C21,'Work Orders'!$A$6:$A$505,"?*")</f>
        <v>0</v>
      </c>
      <c r="L21" s="17" t="n">
        <f aca="false">SUMIFS('Work Orders'!$H$6:$H$505,'Work Orders'!$B$6:$B$505,C21,'Work Orders'!$I$6:$I$505,"Closed")</f>
        <v>0</v>
      </c>
      <c r="M21" s="39" t="str">
        <f aca="false" t="array" ref="M21:M21">_xlfn.TEXTJOIN(", ",TRUE(),IF(('Work Orders'!$B$6:$B$505=C21)*('Work Orders'!$A$6:$A$505&lt;&gt;""),'Work Orders'!$A$6:$A$505,""))</f>
        <v/>
      </c>
      <c r="N21" s="40" t="str">
        <f aca="false">'Kitting Plan'!I5</f>
        <v>OK</v>
      </c>
      <c r="P21" s="41" t="n">
        <f aca="false">MIN(H21,G21)</f>
        <v>0</v>
      </c>
    </row>
    <row r="22" customFormat="false" ht="24" hidden="false" customHeight="true" outlineLevel="0" collapsed="false">
      <c r="B22" s="33" t="str">
        <f aca="false">'Kitting Plan'!B6</f>
        <v>LASER ASSY</v>
      </c>
      <c r="C22" s="16" t="str">
        <f aca="false">'Kitting Plan'!C6</f>
        <v>92YLS00548BBA</v>
      </c>
      <c r="D22" s="34" t="str">
        <f aca="false">'Kitting Plan'!D6</f>
        <v>R5B LASER ASSEMBLY 4P BOAT 2/3 - E2A</v>
      </c>
      <c r="E22" s="17" t="n">
        <f aca="false">'Kitting Plan'!E6</f>
        <v>2</v>
      </c>
      <c r="F22" s="17" t="n">
        <f aca="false">'Kitting Plan'!H6</f>
        <v>2</v>
      </c>
      <c r="G22" s="35" t="n">
        <f aca="false">IF($M$2="All",E22,F22)</f>
        <v>2</v>
      </c>
      <c r="H22" s="36" t="n">
        <f aca="false">IF($M$2="All",SUMIFS('Work Orders'!$H$6:$H$505,'Work Orders'!$B$6:$B$505,C22),SUMIFS('Work Orders'!$H$6:$H$505,'Work Orders'!$B$6:$B$505,C22,'Work Orders'!$E$6:$E$505,$M$2)+(SUMIFS('Work Orders'!$H$6:$H$505,'Work Orders'!$B$6:$B$505,C22,'Work Orders'!$E$6:$E$505,"All")+SUMIFS('Work Orders'!$H$6:$H$505,'Work Orders'!$B$6:$B$505,C22,'Work Orders'!$E$6:$E$505,""))/'Kitting Plan'!G6)</f>
        <v>0</v>
      </c>
      <c r="I22" s="37" t="n">
        <f aca="false">IF(G22=0,0,H22/G22)</f>
        <v>0</v>
      </c>
      <c r="J22" s="38" t="str">
        <f aca="false">IF(H22=0,"NO WO",IF(H22&gt;G22+0.0001,"OVER",IF(H22&gt;=G22-0.0001,"COVERED","SHORT "&amp;ROUND(G22-H22,1))))</f>
        <v>NO WO</v>
      </c>
      <c r="K22" s="17" t="n">
        <f aca="false">COUNTIFS('Work Orders'!$B$6:$B$505,C22,'Work Orders'!$A$6:$A$505,"?*")</f>
        <v>0</v>
      </c>
      <c r="L22" s="17" t="n">
        <f aca="false">SUMIFS('Work Orders'!$H$6:$H$505,'Work Orders'!$B$6:$B$505,C22,'Work Orders'!$I$6:$I$505,"Closed")</f>
        <v>0</v>
      </c>
      <c r="M22" s="39" t="str">
        <f aca="false" t="array" ref="M22:M22">_xlfn.TEXTJOIN(", ",TRUE(),IF(('Work Orders'!$B$6:$B$505=C22)*('Work Orders'!$A$6:$A$505&lt;&gt;""),'Work Orders'!$A$6:$A$505,""))</f>
        <v/>
      </c>
      <c r="N22" s="40" t="str">
        <f aca="false">'Kitting Plan'!I6</f>
        <v>OK</v>
      </c>
      <c r="P22" s="41" t="n">
        <f aca="false">MIN(H22,G22)</f>
        <v>0</v>
      </c>
    </row>
    <row r="23" customFormat="false" ht="24" hidden="false" customHeight="true" outlineLevel="0" collapsed="false">
      <c r="B23" s="33" t="str">
        <f aca="false">'Kitting Plan'!B7</f>
        <v>PSB ASSY</v>
      </c>
      <c r="C23" s="16" t="str">
        <f aca="false">'Kitting Plan'!C7</f>
        <v>91YAF03404AAA</v>
      </c>
      <c r="D23" s="34" t="str">
        <f aca="false">'Kitting Plan'!D7</f>
        <v>R5B PSB SUB ASSEMBLY 4P-4FP</v>
      </c>
      <c r="E23" s="17" t="n">
        <f aca="false">'Kitting Plan'!E7</f>
        <v>3</v>
      </c>
      <c r="F23" s="17" t="n">
        <f aca="false">'Kitting Plan'!H7</f>
        <v>3</v>
      </c>
      <c r="G23" s="35" t="n">
        <f aca="false">IF($M$2="All",E23,F23)</f>
        <v>3</v>
      </c>
      <c r="H23" s="36" t="n">
        <f aca="false">IF($M$2="All",SUMIFS('Work Orders'!$H$6:$H$505,'Work Orders'!$B$6:$B$505,C23),SUMIFS('Work Orders'!$H$6:$H$505,'Work Orders'!$B$6:$B$505,C23,'Work Orders'!$E$6:$E$505,$M$2)+(SUMIFS('Work Orders'!$H$6:$H$505,'Work Orders'!$B$6:$B$505,C23,'Work Orders'!$E$6:$E$505,"All")+SUMIFS('Work Orders'!$H$6:$H$505,'Work Orders'!$B$6:$B$505,C23,'Work Orders'!$E$6:$E$505,""))/'Kitting Plan'!G7)</f>
        <v>0</v>
      </c>
      <c r="I23" s="37" t="n">
        <f aca="false">IF(G23=0,0,H23/G23)</f>
        <v>0</v>
      </c>
      <c r="J23" s="38" t="str">
        <f aca="false">IF(H23=0,"NO WO",IF(H23&gt;G23+0.0001,"OVER",IF(H23&gt;=G23-0.0001,"COVERED","SHORT "&amp;ROUND(G23-H23,1))))</f>
        <v>NO WO</v>
      </c>
      <c r="K23" s="17" t="n">
        <f aca="false">COUNTIFS('Work Orders'!$B$6:$B$505,C23,'Work Orders'!$A$6:$A$505,"?*")</f>
        <v>0</v>
      </c>
      <c r="L23" s="17" t="n">
        <f aca="false">SUMIFS('Work Orders'!$H$6:$H$505,'Work Orders'!$B$6:$B$505,C23,'Work Orders'!$I$6:$I$505,"Closed")</f>
        <v>0</v>
      </c>
      <c r="M23" s="39" t="str">
        <f aca="false" t="array" ref="M23:M23">_xlfn.TEXTJOIN(", ",TRUE(),IF(('Work Orders'!$B$6:$B$505=C23)*('Work Orders'!$A$6:$A$505&lt;&gt;""),'Work Orders'!$A$6:$A$505,""))</f>
        <v/>
      </c>
      <c r="N23" s="40" t="str">
        <f aca="false">'Kitting Plan'!I7</f>
        <v>OK</v>
      </c>
      <c r="P23" s="41" t="n">
        <f aca="false">MIN(H23,G23)</f>
        <v>0</v>
      </c>
    </row>
    <row r="24" customFormat="false" ht="24" hidden="false" customHeight="true" outlineLevel="0" collapsed="false">
      <c r="B24" s="33" t="str">
        <f aca="false">'Kitting Plan'!B8</f>
        <v>OPF ASSY</v>
      </c>
      <c r="C24" s="16" t="str">
        <f aca="false">'Kitting Plan'!C8</f>
        <v>92YFD04548BAA</v>
      </c>
      <c r="D24" s="34" t="str">
        <f aca="false">'Kitting Plan'!D8</f>
        <v>R5B OPF ASSEMBLY (4P-4FP) BOAT 1 - E2A</v>
      </c>
      <c r="E24" s="17" t="n">
        <f aca="false">'Kitting Plan'!E8</f>
        <v>1</v>
      </c>
      <c r="F24" s="17" t="n">
        <f aca="false">'Kitting Plan'!H8</f>
        <v>1</v>
      </c>
      <c r="G24" s="35" t="n">
        <f aca="false">IF($M$2="All",E24,F24)</f>
        <v>1</v>
      </c>
      <c r="H24" s="36" t="n">
        <f aca="false">IF($M$2="All",SUMIFS('Work Orders'!$H$6:$H$505,'Work Orders'!$B$6:$B$505,C24),SUMIFS('Work Orders'!$H$6:$H$505,'Work Orders'!$B$6:$B$505,C24,'Work Orders'!$E$6:$E$505,$M$2)+(SUMIFS('Work Orders'!$H$6:$H$505,'Work Orders'!$B$6:$B$505,C24,'Work Orders'!$E$6:$E$505,"All")+SUMIFS('Work Orders'!$H$6:$H$505,'Work Orders'!$B$6:$B$505,C24,'Work Orders'!$E$6:$E$505,""))/'Kitting Plan'!G8)</f>
        <v>0</v>
      </c>
      <c r="I24" s="37" t="n">
        <f aca="false">IF(G24=0,0,H24/G24)</f>
        <v>0</v>
      </c>
      <c r="J24" s="38" t="str">
        <f aca="false">IF(H24=0,"NO WO",IF(H24&gt;G24+0.0001,"OVER",IF(H24&gt;=G24-0.0001,"COVERED","SHORT "&amp;ROUND(G24-H24,1))))</f>
        <v>NO WO</v>
      </c>
      <c r="K24" s="17" t="n">
        <f aca="false">COUNTIFS('Work Orders'!$B$6:$B$505,C24,'Work Orders'!$A$6:$A$505,"?*")</f>
        <v>0</v>
      </c>
      <c r="L24" s="17" t="n">
        <f aca="false">SUMIFS('Work Orders'!$H$6:$H$505,'Work Orders'!$B$6:$B$505,C24,'Work Orders'!$I$6:$I$505,"Closed")</f>
        <v>0</v>
      </c>
      <c r="M24" s="39" t="str">
        <f aca="false" t="array" ref="M24:M24">_xlfn.TEXTJOIN(", ",TRUE(),IF(('Work Orders'!$B$6:$B$505=C24)*('Work Orders'!$A$6:$A$505&lt;&gt;""),'Work Orders'!$A$6:$A$505,""))</f>
        <v/>
      </c>
      <c r="N24" s="40" t="str">
        <f aca="false">'Kitting Plan'!I8</f>
        <v>OK</v>
      </c>
      <c r="P24" s="41" t="n">
        <f aca="false">MIN(H24,G24)</f>
        <v>0</v>
      </c>
    </row>
    <row r="25" customFormat="false" ht="24" hidden="false" customHeight="true" outlineLevel="0" collapsed="false">
      <c r="B25" s="33" t="str">
        <f aca="false">'Kitting Plan'!B9</f>
        <v>OPF ASSY</v>
      </c>
      <c r="C25" s="16" t="str">
        <f aca="false">'Kitting Plan'!C9</f>
        <v>92YFD04548BBA</v>
      </c>
      <c r="D25" s="34" t="str">
        <f aca="false">'Kitting Plan'!D9</f>
        <v>R5B OPF ASSEMBLY (4P-4FP) BOAT 2/3 - E2A</v>
      </c>
      <c r="E25" s="17" t="n">
        <f aca="false">'Kitting Plan'!E9</f>
        <v>2</v>
      </c>
      <c r="F25" s="17" t="n">
        <f aca="false">'Kitting Plan'!H9</f>
        <v>2</v>
      </c>
      <c r="G25" s="35" t="n">
        <f aca="false">IF($M$2="All",E25,F25)</f>
        <v>2</v>
      </c>
      <c r="H25" s="36" t="n">
        <f aca="false">IF($M$2="All",SUMIFS('Work Orders'!$H$6:$H$505,'Work Orders'!$B$6:$B$505,C25),SUMIFS('Work Orders'!$H$6:$H$505,'Work Orders'!$B$6:$B$505,C25,'Work Orders'!$E$6:$E$505,$M$2)+(SUMIFS('Work Orders'!$H$6:$H$505,'Work Orders'!$B$6:$B$505,C25,'Work Orders'!$E$6:$E$505,"All")+SUMIFS('Work Orders'!$H$6:$H$505,'Work Orders'!$B$6:$B$505,C25,'Work Orders'!$E$6:$E$505,""))/'Kitting Plan'!G9)</f>
        <v>0</v>
      </c>
      <c r="I25" s="37" t="n">
        <f aca="false">IF(G25=0,0,H25/G25)</f>
        <v>0</v>
      </c>
      <c r="J25" s="38" t="str">
        <f aca="false">IF(H25=0,"NO WO",IF(H25&gt;G25+0.0001,"OVER",IF(H25&gt;=G25-0.0001,"COVERED","SHORT "&amp;ROUND(G25-H25,1))))</f>
        <v>NO WO</v>
      </c>
      <c r="K25" s="17" t="n">
        <f aca="false">COUNTIFS('Work Orders'!$B$6:$B$505,C25,'Work Orders'!$A$6:$A$505,"?*")</f>
        <v>0</v>
      </c>
      <c r="L25" s="17" t="n">
        <f aca="false">SUMIFS('Work Orders'!$H$6:$H$505,'Work Orders'!$B$6:$B$505,C25,'Work Orders'!$I$6:$I$505,"Closed")</f>
        <v>0</v>
      </c>
      <c r="M25" s="39" t="str">
        <f aca="false" t="array" ref="M25:M25">_xlfn.TEXTJOIN(", ",TRUE(),IF(('Work Orders'!$B$6:$B$505=C25)*('Work Orders'!$A$6:$A$505&lt;&gt;""),'Work Orders'!$A$6:$A$505,""))</f>
        <v/>
      </c>
      <c r="N25" s="40" t="str">
        <f aca="false">'Kitting Plan'!I9</f>
        <v>OK</v>
      </c>
      <c r="P25" s="41" t="n">
        <f aca="false">MIN(H25,G25)</f>
        <v>0</v>
      </c>
    </row>
    <row r="26" customFormat="false" ht="24" hidden="false" customHeight="true" outlineLevel="0" collapsed="false">
      <c r="B26" s="33" t="str">
        <f aca="false">'Kitting Plan'!B10</f>
        <v>POB ASSY</v>
      </c>
      <c r="C26" s="16" t="str">
        <f aca="false">'Kitting Plan'!C10</f>
        <v>92YWS04548AAA</v>
      </c>
      <c r="D26" s="34" t="str">
        <f aca="false">'Kitting Plan'!D10</f>
        <v>R5B 4FP POB LUMENTUM SUB ASSEMBLY - E2A</v>
      </c>
      <c r="E26" s="17" t="n">
        <f aca="false">'Kitting Plan'!E10</f>
        <v>3</v>
      </c>
      <c r="F26" s="17" t="n">
        <f aca="false">'Kitting Plan'!H10</f>
        <v>3</v>
      </c>
      <c r="G26" s="35" t="n">
        <f aca="false">IF($M$2="All",E26,F26)</f>
        <v>3</v>
      </c>
      <c r="H26" s="36" t="n">
        <f aca="false">IF($M$2="All",SUMIFS('Work Orders'!$H$6:$H$505,'Work Orders'!$B$6:$B$505,C26),SUMIFS('Work Orders'!$H$6:$H$505,'Work Orders'!$B$6:$B$505,C26,'Work Orders'!$E$6:$E$505,$M$2)+(SUMIFS('Work Orders'!$H$6:$H$505,'Work Orders'!$B$6:$B$505,C26,'Work Orders'!$E$6:$E$505,"All")+SUMIFS('Work Orders'!$H$6:$H$505,'Work Orders'!$B$6:$B$505,C26,'Work Orders'!$E$6:$E$505,""))/'Kitting Plan'!G10)</f>
        <v>0</v>
      </c>
      <c r="I26" s="37" t="n">
        <f aca="false">IF(G26=0,0,H26/G26)</f>
        <v>0</v>
      </c>
      <c r="J26" s="38" t="str">
        <f aca="false">IF(H26=0,"NO WO",IF(H26&gt;G26+0.0001,"OVER",IF(H26&gt;=G26-0.0001,"COVERED","SHORT "&amp;ROUND(G26-H26,1))))</f>
        <v>NO WO</v>
      </c>
      <c r="K26" s="17" t="n">
        <f aca="false">COUNTIFS('Work Orders'!$B$6:$B$505,C26,'Work Orders'!$A$6:$A$505,"?*")</f>
        <v>0</v>
      </c>
      <c r="L26" s="17" t="n">
        <f aca="false">SUMIFS('Work Orders'!$H$6:$H$505,'Work Orders'!$B$6:$B$505,C26,'Work Orders'!$I$6:$I$505,"Closed")</f>
        <v>0</v>
      </c>
      <c r="M26" s="39" t="str">
        <f aca="false" t="array" ref="M26:M26">_xlfn.TEXTJOIN(", ",TRUE(),IF(('Work Orders'!$B$6:$B$505=C26)*('Work Orders'!$A$6:$A$505&lt;&gt;""),'Work Orders'!$A$6:$A$505,""))</f>
        <v/>
      </c>
      <c r="N26" s="40" t="str">
        <f aca="false">'Kitting Plan'!I10</f>
        <v>OK</v>
      </c>
      <c r="P26" s="41" t="n">
        <f aca="false">MIN(H26,G26)</f>
        <v>0</v>
      </c>
    </row>
    <row r="27" customFormat="false" ht="24" hidden="false" customHeight="true" outlineLevel="0" collapsed="false">
      <c r="B27" s="33" t="str">
        <f aca="false">'Kitting Plan'!B11</f>
        <v>ERBIUM ASSY</v>
      </c>
      <c r="C27" s="16" t="str">
        <f aca="false">'Kitting Plan'!C11</f>
        <v>92RRA00548AAA</v>
      </c>
      <c r="D27" s="34" t="str">
        <f aca="false">'Kitting Plan'!D11</f>
        <v>R5B ERBIUM SPOOL ASSEMBLY - E2A</v>
      </c>
      <c r="E27" s="17" t="n">
        <f aca="false">'Kitting Plan'!E11</f>
        <v>24</v>
      </c>
      <c r="F27" s="17" t="n">
        <f aca="false">'Kitting Plan'!H11</f>
        <v>24</v>
      </c>
      <c r="G27" s="35" t="n">
        <f aca="false">IF($M$2="All",E27,F27)</f>
        <v>24</v>
      </c>
      <c r="H27" s="36" t="n">
        <f aca="false">IF($M$2="All",SUMIFS('Work Orders'!$H$6:$H$505,'Work Orders'!$B$6:$B$505,C27),SUMIFS('Work Orders'!$H$6:$H$505,'Work Orders'!$B$6:$B$505,C27,'Work Orders'!$E$6:$E$505,$M$2)+(SUMIFS('Work Orders'!$H$6:$H$505,'Work Orders'!$B$6:$B$505,C27,'Work Orders'!$E$6:$E$505,"All")+SUMIFS('Work Orders'!$H$6:$H$505,'Work Orders'!$B$6:$B$505,C27,'Work Orders'!$E$6:$E$505,""))/'Kitting Plan'!G11)</f>
        <v>0</v>
      </c>
      <c r="I27" s="37" t="n">
        <f aca="false">IF(G27=0,0,H27/G27)</f>
        <v>0</v>
      </c>
      <c r="J27" s="38" t="str">
        <f aca="false">IF(H27=0,"NO WO",IF(H27&gt;G27+0.0001,"OVER",IF(H27&gt;=G27-0.0001,"COVERED","SHORT "&amp;ROUND(G27-H27,1))))</f>
        <v>NO WO</v>
      </c>
      <c r="K27" s="17" t="n">
        <f aca="false">COUNTIFS('Work Orders'!$B$6:$B$505,C27,'Work Orders'!$A$6:$A$505,"?*")</f>
        <v>0</v>
      </c>
      <c r="L27" s="17" t="n">
        <f aca="false">SUMIFS('Work Orders'!$H$6:$H$505,'Work Orders'!$B$6:$B$505,C27,'Work Orders'!$I$6:$I$505,"Closed")</f>
        <v>0</v>
      </c>
      <c r="M27" s="39" t="str">
        <f aca="false" t="array" ref="M27:M27">_xlfn.TEXTJOIN(", ",TRUE(),IF(('Work Orders'!$B$6:$B$505=C27)*('Work Orders'!$A$6:$A$505&lt;&gt;""),'Work Orders'!$A$6:$A$505,""))</f>
        <v/>
      </c>
      <c r="N27" s="40" t="str">
        <f aca="false">'Kitting Plan'!I11</f>
        <v>OK</v>
      </c>
      <c r="P27" s="41" t="n">
        <f aca="false">MIN(H27,G27)</f>
        <v>0</v>
      </c>
    </row>
    <row r="28" customFormat="false" ht="24" hidden="false" customHeight="true" outlineLevel="0" collapsed="false">
      <c r="B28" s="33" t="str">
        <f aca="false">'Kitting Plan'!B12</f>
        <v>ERBIUM ASSY</v>
      </c>
      <c r="C28" s="16" t="str">
        <f aca="false">'Kitting Plan'!C12</f>
        <v>92YRA01548AAA</v>
      </c>
      <c r="D28" s="34" t="str">
        <f aca="false">'Kitting Plan'!D12</f>
        <v>R5B ERBIUM ASSEMBLY POSITION 1</v>
      </c>
      <c r="E28" s="17" t="n">
        <f aca="false">'Kitting Plan'!E12</f>
        <v>3</v>
      </c>
      <c r="F28" s="17" t="n">
        <f aca="false">'Kitting Plan'!H12</f>
        <v>3</v>
      </c>
      <c r="G28" s="35" t="n">
        <f aca="false">IF($M$2="All",E28,F28)</f>
        <v>3</v>
      </c>
      <c r="H28" s="36" t="n">
        <f aca="false">IF($M$2="All",SUMIFS('Work Orders'!$H$6:$H$505,'Work Orders'!$B$6:$B$505,C28),SUMIFS('Work Orders'!$H$6:$H$505,'Work Orders'!$B$6:$B$505,C28,'Work Orders'!$E$6:$E$505,$M$2)+(SUMIFS('Work Orders'!$H$6:$H$505,'Work Orders'!$B$6:$B$505,C28,'Work Orders'!$E$6:$E$505,"All")+SUMIFS('Work Orders'!$H$6:$H$505,'Work Orders'!$B$6:$B$505,C28,'Work Orders'!$E$6:$E$505,""))/'Kitting Plan'!G12)</f>
        <v>0</v>
      </c>
      <c r="I28" s="37" t="n">
        <f aca="false">IF(G28=0,0,H28/G28)</f>
        <v>0</v>
      </c>
      <c r="J28" s="38" t="str">
        <f aca="false">IF(H28=0,"NO WO",IF(H28&gt;G28+0.0001,"OVER",IF(H28&gt;=G28-0.0001,"COVERED","SHORT "&amp;ROUND(G28-H28,1))))</f>
        <v>NO WO</v>
      </c>
      <c r="K28" s="17" t="n">
        <f aca="false">COUNTIFS('Work Orders'!$B$6:$B$505,C28,'Work Orders'!$A$6:$A$505,"?*")</f>
        <v>0</v>
      </c>
      <c r="L28" s="17" t="n">
        <f aca="false">SUMIFS('Work Orders'!$H$6:$H$505,'Work Orders'!$B$6:$B$505,C28,'Work Orders'!$I$6:$I$505,"Closed")</f>
        <v>0</v>
      </c>
      <c r="M28" s="39" t="str">
        <f aca="false" t="array" ref="M28:M28">_xlfn.TEXTJOIN(", ",TRUE(),IF(('Work Orders'!$B$6:$B$505=C28)*('Work Orders'!$A$6:$A$505&lt;&gt;""),'Work Orders'!$A$6:$A$505,""))</f>
        <v/>
      </c>
      <c r="N28" s="40" t="str">
        <f aca="false">'Kitting Plan'!I12</f>
        <v>OK</v>
      </c>
      <c r="P28" s="41" t="n">
        <f aca="false">MIN(H28,G28)</f>
        <v>0</v>
      </c>
    </row>
    <row r="29" customFormat="false" ht="24" hidden="false" customHeight="true" outlineLevel="0" collapsed="false">
      <c r="B29" s="33" t="str">
        <f aca="false">'Kitting Plan'!B13</f>
        <v>ERBIUM ASSY</v>
      </c>
      <c r="C29" s="16" t="str">
        <f aca="false">'Kitting Plan'!C13</f>
        <v>92YRA02548AAA</v>
      </c>
      <c r="D29" s="34" t="str">
        <f aca="false">'Kitting Plan'!D13</f>
        <v>R5B ERBIUM ASSEMBLY POSITION 2</v>
      </c>
      <c r="E29" s="17" t="n">
        <f aca="false">'Kitting Plan'!E13</f>
        <v>3</v>
      </c>
      <c r="F29" s="17" t="n">
        <f aca="false">'Kitting Plan'!H13</f>
        <v>3</v>
      </c>
      <c r="G29" s="35" t="n">
        <f aca="false">IF($M$2="All",E29,F29)</f>
        <v>3</v>
      </c>
      <c r="H29" s="36" t="n">
        <f aca="false">IF($M$2="All",SUMIFS('Work Orders'!$H$6:$H$505,'Work Orders'!$B$6:$B$505,C29),SUMIFS('Work Orders'!$H$6:$H$505,'Work Orders'!$B$6:$B$505,C29,'Work Orders'!$E$6:$E$505,$M$2)+(SUMIFS('Work Orders'!$H$6:$H$505,'Work Orders'!$B$6:$B$505,C29,'Work Orders'!$E$6:$E$505,"All")+SUMIFS('Work Orders'!$H$6:$H$505,'Work Orders'!$B$6:$B$505,C29,'Work Orders'!$E$6:$E$505,""))/'Kitting Plan'!G13)</f>
        <v>0</v>
      </c>
      <c r="I29" s="37" t="n">
        <f aca="false">IF(G29=0,0,H29/G29)</f>
        <v>0</v>
      </c>
      <c r="J29" s="38" t="str">
        <f aca="false">IF(H29=0,"NO WO",IF(H29&gt;G29+0.0001,"OVER",IF(H29&gt;=G29-0.0001,"COVERED","SHORT "&amp;ROUND(G29-H29,1))))</f>
        <v>NO WO</v>
      </c>
      <c r="K29" s="17" t="n">
        <f aca="false">COUNTIFS('Work Orders'!$B$6:$B$505,C29,'Work Orders'!$A$6:$A$505,"?*")</f>
        <v>0</v>
      </c>
      <c r="L29" s="17" t="n">
        <f aca="false">SUMIFS('Work Orders'!$H$6:$H$505,'Work Orders'!$B$6:$B$505,C29,'Work Orders'!$I$6:$I$505,"Closed")</f>
        <v>0</v>
      </c>
      <c r="M29" s="39" t="str">
        <f aca="false" t="array" ref="M29:M29">_xlfn.TEXTJOIN(", ",TRUE(),IF(('Work Orders'!$B$6:$B$505=C29)*('Work Orders'!$A$6:$A$505&lt;&gt;""),'Work Orders'!$A$6:$A$505,""))</f>
        <v/>
      </c>
      <c r="N29" s="40" t="str">
        <f aca="false">'Kitting Plan'!I13</f>
        <v>OK</v>
      </c>
      <c r="P29" s="41" t="n">
        <f aca="false">MIN(H29,G29)</f>
        <v>0</v>
      </c>
    </row>
    <row r="30" customFormat="false" ht="24" hidden="false" customHeight="true" outlineLevel="0" collapsed="false">
      <c r="B30" s="33" t="str">
        <f aca="false">'Kitting Plan'!B14</f>
        <v>ERBIUM ASSY</v>
      </c>
      <c r="C30" s="16" t="str">
        <f aca="false">'Kitting Plan'!C14</f>
        <v>92YRA03548AAA</v>
      </c>
      <c r="D30" s="34" t="str">
        <f aca="false">'Kitting Plan'!D14</f>
        <v>R5B ERBIUM ASSEMBLY POSITION 3</v>
      </c>
      <c r="E30" s="17" t="n">
        <f aca="false">'Kitting Plan'!E14</f>
        <v>3</v>
      </c>
      <c r="F30" s="17" t="n">
        <f aca="false">'Kitting Plan'!H14</f>
        <v>3</v>
      </c>
      <c r="G30" s="35" t="n">
        <f aca="false">IF($M$2="All",E30,F30)</f>
        <v>3</v>
      </c>
      <c r="H30" s="36" t="n">
        <f aca="false">IF($M$2="All",SUMIFS('Work Orders'!$H$6:$H$505,'Work Orders'!$B$6:$B$505,C30),SUMIFS('Work Orders'!$H$6:$H$505,'Work Orders'!$B$6:$B$505,C30,'Work Orders'!$E$6:$E$505,$M$2)+(SUMIFS('Work Orders'!$H$6:$H$505,'Work Orders'!$B$6:$B$505,C30,'Work Orders'!$E$6:$E$505,"All")+SUMIFS('Work Orders'!$H$6:$H$505,'Work Orders'!$B$6:$B$505,C30,'Work Orders'!$E$6:$E$505,""))/'Kitting Plan'!G14)</f>
        <v>0</v>
      </c>
      <c r="I30" s="37" t="n">
        <f aca="false">IF(G30=0,0,H30/G30)</f>
        <v>0</v>
      </c>
      <c r="J30" s="38" t="str">
        <f aca="false">IF(H30=0,"NO WO",IF(H30&gt;G30+0.0001,"OVER",IF(H30&gt;=G30-0.0001,"COVERED","SHORT "&amp;ROUND(G30-H30,1))))</f>
        <v>NO WO</v>
      </c>
      <c r="K30" s="17" t="n">
        <f aca="false">COUNTIFS('Work Orders'!$B$6:$B$505,C30,'Work Orders'!$A$6:$A$505,"?*")</f>
        <v>0</v>
      </c>
      <c r="L30" s="17" t="n">
        <f aca="false">SUMIFS('Work Orders'!$H$6:$H$505,'Work Orders'!$B$6:$B$505,C30,'Work Orders'!$I$6:$I$505,"Closed")</f>
        <v>0</v>
      </c>
      <c r="M30" s="39" t="str">
        <f aca="false" t="array" ref="M30:M30">_xlfn.TEXTJOIN(", ",TRUE(),IF(('Work Orders'!$B$6:$B$505=C30)*('Work Orders'!$A$6:$A$505&lt;&gt;""),'Work Orders'!$A$6:$A$505,""))</f>
        <v/>
      </c>
      <c r="N30" s="40" t="str">
        <f aca="false">'Kitting Plan'!I14</f>
        <v>OK</v>
      </c>
      <c r="P30" s="41" t="n">
        <f aca="false">MIN(H30,G30)</f>
        <v>0</v>
      </c>
    </row>
    <row r="31" customFormat="false" ht="24" hidden="false" customHeight="true" outlineLevel="0" collapsed="false">
      <c r="B31" s="33" t="str">
        <f aca="false">'Kitting Plan'!B15</f>
        <v>ERBIUM ASSY</v>
      </c>
      <c r="C31" s="16" t="str">
        <f aca="false">'Kitting Plan'!C15</f>
        <v>92YRA04548AAA</v>
      </c>
      <c r="D31" s="34" t="str">
        <f aca="false">'Kitting Plan'!D15</f>
        <v>R5B ERBIUM ASSEMBLY POSITION 4</v>
      </c>
      <c r="E31" s="17" t="n">
        <f aca="false">'Kitting Plan'!E15</f>
        <v>3</v>
      </c>
      <c r="F31" s="17" t="n">
        <f aca="false">'Kitting Plan'!H15</f>
        <v>3</v>
      </c>
      <c r="G31" s="35" t="n">
        <f aca="false">IF($M$2="All",E31,F31)</f>
        <v>3</v>
      </c>
      <c r="H31" s="36" t="n">
        <f aca="false">IF($M$2="All",SUMIFS('Work Orders'!$H$6:$H$505,'Work Orders'!$B$6:$B$505,C31),SUMIFS('Work Orders'!$H$6:$H$505,'Work Orders'!$B$6:$B$505,C31,'Work Orders'!$E$6:$E$505,$M$2)+(SUMIFS('Work Orders'!$H$6:$H$505,'Work Orders'!$B$6:$B$505,C31,'Work Orders'!$E$6:$E$505,"All")+SUMIFS('Work Orders'!$H$6:$H$505,'Work Orders'!$B$6:$B$505,C31,'Work Orders'!$E$6:$E$505,""))/'Kitting Plan'!G15)</f>
        <v>0</v>
      </c>
      <c r="I31" s="37" t="n">
        <f aca="false">IF(G31=0,0,H31/G31)</f>
        <v>0</v>
      </c>
      <c r="J31" s="38" t="str">
        <f aca="false">IF(H31=0,"NO WO",IF(H31&gt;G31+0.0001,"OVER",IF(H31&gt;=G31-0.0001,"COVERED","SHORT "&amp;ROUND(G31-H31,1))))</f>
        <v>NO WO</v>
      </c>
      <c r="K31" s="17" t="n">
        <f aca="false">COUNTIFS('Work Orders'!$B$6:$B$505,C31,'Work Orders'!$A$6:$A$505,"?*")</f>
        <v>0</v>
      </c>
      <c r="L31" s="17" t="n">
        <f aca="false">SUMIFS('Work Orders'!$H$6:$H$505,'Work Orders'!$B$6:$B$505,C31,'Work Orders'!$I$6:$I$505,"Closed")</f>
        <v>0</v>
      </c>
      <c r="M31" s="39" t="str">
        <f aca="false" t="array" ref="M31:M31">_xlfn.TEXTJOIN(", ",TRUE(),IF(('Work Orders'!$B$6:$B$505=C31)*('Work Orders'!$A$6:$A$505&lt;&gt;""),'Work Orders'!$A$6:$A$505,""))</f>
        <v/>
      </c>
      <c r="N31" s="40" t="str">
        <f aca="false">'Kitting Plan'!I15</f>
        <v>OK</v>
      </c>
      <c r="P31" s="41" t="n">
        <f aca="false">MIN(H31,G31)</f>
        <v>0</v>
      </c>
    </row>
    <row r="32" customFormat="false" ht="24" hidden="false" customHeight="true" outlineLevel="0" collapsed="false">
      <c r="B32" s="33" t="str">
        <f aca="false">'Kitting Plan'!B16</f>
        <v>BOAT ASSY</v>
      </c>
      <c r="C32" s="16" t="str">
        <f aca="false">'Kitting Plan'!C16</f>
        <v>92UAP04548BAA</v>
      </c>
      <c r="D32" s="34" t="str">
        <f aca="false">'Kitting Plan'!D16</f>
        <v>R5B BOAT 1 ASSY (4P-4FP)</v>
      </c>
      <c r="E32" s="17" t="n">
        <f aca="false">'Kitting Plan'!E16</f>
        <v>1</v>
      </c>
      <c r="F32" s="17" t="n">
        <f aca="false">'Kitting Plan'!H16</f>
        <v>1</v>
      </c>
      <c r="G32" s="35" t="n">
        <f aca="false">IF($M$2="All",E32,F32)</f>
        <v>1</v>
      </c>
      <c r="H32" s="36" t="n">
        <f aca="false">IF($M$2="All",SUMIFS('Work Orders'!$H$6:$H$505,'Work Orders'!$B$6:$B$505,C32),SUMIFS('Work Orders'!$H$6:$H$505,'Work Orders'!$B$6:$B$505,C32,'Work Orders'!$E$6:$E$505,$M$2)+(SUMIFS('Work Orders'!$H$6:$H$505,'Work Orders'!$B$6:$B$505,C32,'Work Orders'!$E$6:$E$505,"All")+SUMIFS('Work Orders'!$H$6:$H$505,'Work Orders'!$B$6:$B$505,C32,'Work Orders'!$E$6:$E$505,""))/'Kitting Plan'!G16)</f>
        <v>0</v>
      </c>
      <c r="I32" s="37" t="n">
        <f aca="false">IF(G32=0,0,H32/G32)</f>
        <v>0</v>
      </c>
      <c r="J32" s="38" t="str">
        <f aca="false">IF(H32=0,"NO WO",IF(H32&gt;G32+0.0001,"OVER",IF(H32&gt;=G32-0.0001,"COVERED","SHORT "&amp;ROUND(G32-H32,1))))</f>
        <v>NO WO</v>
      </c>
      <c r="K32" s="17" t="n">
        <f aca="false">COUNTIFS('Work Orders'!$B$6:$B$505,C32,'Work Orders'!$A$6:$A$505,"?*")</f>
        <v>0</v>
      </c>
      <c r="L32" s="17" t="n">
        <f aca="false">SUMIFS('Work Orders'!$H$6:$H$505,'Work Orders'!$B$6:$B$505,C32,'Work Orders'!$I$6:$I$505,"Closed")</f>
        <v>0</v>
      </c>
      <c r="M32" s="39" t="str">
        <f aca="false" t="array" ref="M32:M32">_xlfn.TEXTJOIN(", ",TRUE(),IF(('Work Orders'!$B$6:$B$505=C32)*('Work Orders'!$A$6:$A$505&lt;&gt;""),'Work Orders'!$A$6:$A$505,""))</f>
        <v/>
      </c>
      <c r="N32" s="40" t="str">
        <f aca="false">'Kitting Plan'!I16</f>
        <v>OK</v>
      </c>
      <c r="P32" s="41" t="n">
        <f aca="false">MIN(H32,G32)</f>
        <v>0</v>
      </c>
    </row>
    <row r="33" customFormat="false" ht="24" hidden="false" customHeight="true" outlineLevel="0" collapsed="false">
      <c r="B33" s="33" t="str">
        <f aca="false">'Kitting Plan'!B17</f>
        <v>BOAT ASSY</v>
      </c>
      <c r="C33" s="16" t="str">
        <f aca="false">'Kitting Plan'!C17</f>
        <v>92UAP04548BBA</v>
      </c>
      <c r="D33" s="34" t="str">
        <f aca="false">'Kitting Plan'!D17</f>
        <v>R5B BOAT 2 ASSY (4P-4FP)</v>
      </c>
      <c r="E33" s="17" t="n">
        <f aca="false">'Kitting Plan'!E17</f>
        <v>1</v>
      </c>
      <c r="F33" s="17" t="n">
        <f aca="false">'Kitting Plan'!H17</f>
        <v>1</v>
      </c>
      <c r="G33" s="35" t="n">
        <f aca="false">IF($M$2="All",E33,F33)</f>
        <v>1</v>
      </c>
      <c r="H33" s="36" t="n">
        <f aca="false">IF($M$2="All",SUMIFS('Work Orders'!$H$6:$H$505,'Work Orders'!$B$6:$B$505,C33),SUMIFS('Work Orders'!$H$6:$H$505,'Work Orders'!$B$6:$B$505,C33,'Work Orders'!$E$6:$E$505,$M$2)+(SUMIFS('Work Orders'!$H$6:$H$505,'Work Orders'!$B$6:$B$505,C33,'Work Orders'!$E$6:$E$505,"All")+SUMIFS('Work Orders'!$H$6:$H$505,'Work Orders'!$B$6:$B$505,C33,'Work Orders'!$E$6:$E$505,""))/'Kitting Plan'!G17)</f>
        <v>0</v>
      </c>
      <c r="I33" s="37" t="n">
        <f aca="false">IF(G33=0,0,H33/G33)</f>
        <v>0</v>
      </c>
      <c r="J33" s="38" t="str">
        <f aca="false">IF(H33=0,"NO WO",IF(H33&gt;G33+0.0001,"OVER",IF(H33&gt;=G33-0.0001,"COVERED","SHORT "&amp;ROUND(G33-H33,1))))</f>
        <v>NO WO</v>
      </c>
      <c r="K33" s="17" t="n">
        <f aca="false">COUNTIFS('Work Orders'!$B$6:$B$505,C33,'Work Orders'!$A$6:$A$505,"?*")</f>
        <v>0</v>
      </c>
      <c r="L33" s="17" t="n">
        <f aca="false">SUMIFS('Work Orders'!$H$6:$H$505,'Work Orders'!$B$6:$B$505,C33,'Work Orders'!$I$6:$I$505,"Closed")</f>
        <v>0</v>
      </c>
      <c r="M33" s="39" t="str">
        <f aca="false" t="array" ref="M33:M33">_xlfn.TEXTJOIN(", ",TRUE(),IF(('Work Orders'!$B$6:$B$505=C33)*('Work Orders'!$A$6:$A$505&lt;&gt;""),'Work Orders'!$A$6:$A$505,""))</f>
        <v/>
      </c>
      <c r="N33" s="40" t="str">
        <f aca="false">'Kitting Plan'!I17</f>
        <v>OK</v>
      </c>
      <c r="P33" s="41" t="n">
        <f aca="false">MIN(H33,G33)</f>
        <v>0</v>
      </c>
    </row>
    <row r="34" customFormat="false" ht="24" hidden="false" customHeight="true" outlineLevel="0" collapsed="false">
      <c r="B34" s="33" t="str">
        <f aca="false">'Kitting Plan'!B18</f>
        <v>BOAT ASSY</v>
      </c>
      <c r="C34" s="16" t="str">
        <f aca="false">'Kitting Plan'!C18</f>
        <v>92UAP04548BCA</v>
      </c>
      <c r="D34" s="34" t="str">
        <f aca="false">'Kitting Plan'!D18</f>
        <v>R5B BOAT 3 ASSY (4P-4FP)</v>
      </c>
      <c r="E34" s="17" t="n">
        <f aca="false">'Kitting Plan'!E18</f>
        <v>1</v>
      </c>
      <c r="F34" s="17" t="n">
        <f aca="false">'Kitting Plan'!H18</f>
        <v>1</v>
      </c>
      <c r="G34" s="35" t="n">
        <f aca="false">IF($M$2="All",E34,F34)</f>
        <v>1</v>
      </c>
      <c r="H34" s="36" t="n">
        <f aca="false">IF($M$2="All",SUMIFS('Work Orders'!$H$6:$H$505,'Work Orders'!$B$6:$B$505,C34),SUMIFS('Work Orders'!$H$6:$H$505,'Work Orders'!$B$6:$B$505,C34,'Work Orders'!$E$6:$E$505,$M$2)+(SUMIFS('Work Orders'!$H$6:$H$505,'Work Orders'!$B$6:$B$505,C34,'Work Orders'!$E$6:$E$505,"All")+SUMIFS('Work Orders'!$H$6:$H$505,'Work Orders'!$B$6:$B$505,C34,'Work Orders'!$E$6:$E$505,""))/'Kitting Plan'!G18)</f>
        <v>0</v>
      </c>
      <c r="I34" s="37" t="n">
        <f aca="false">IF(G34=0,0,H34/G34)</f>
        <v>0</v>
      </c>
      <c r="J34" s="38" t="str">
        <f aca="false">IF(H34=0,"NO WO",IF(H34&gt;G34+0.0001,"OVER",IF(H34&gt;=G34-0.0001,"COVERED","SHORT "&amp;ROUND(G34-H34,1))))</f>
        <v>NO WO</v>
      </c>
      <c r="K34" s="17" t="n">
        <f aca="false">COUNTIFS('Work Orders'!$B$6:$B$505,C34,'Work Orders'!$A$6:$A$505,"?*")</f>
        <v>0</v>
      </c>
      <c r="L34" s="17" t="n">
        <f aca="false">SUMIFS('Work Orders'!$H$6:$H$505,'Work Orders'!$B$6:$B$505,C34,'Work Orders'!$I$6:$I$505,"Closed")</f>
        <v>0</v>
      </c>
      <c r="M34" s="39" t="str">
        <f aca="false" t="array" ref="M34:M34">_xlfn.TEXTJOIN(", ",TRUE(),IF(('Work Orders'!$B$6:$B$505=C34)*('Work Orders'!$A$6:$A$505&lt;&gt;""),'Work Orders'!$A$6:$A$505,""))</f>
        <v/>
      </c>
      <c r="N34" s="40" t="str">
        <f aca="false">'Kitting Plan'!I18</f>
        <v>OK</v>
      </c>
      <c r="P34" s="41" t="n">
        <f aca="false">MIN(H34,G34)</f>
        <v>0</v>
      </c>
    </row>
  </sheetData>
  <mergeCells count="21">
    <mergeCell ref="B6:C6"/>
    <mergeCell ref="E6:G6"/>
    <mergeCell ref="H6:I6"/>
    <mergeCell ref="J6:K6"/>
    <mergeCell ref="L6:N6"/>
    <mergeCell ref="B7:C7"/>
    <mergeCell ref="E7:G7"/>
    <mergeCell ref="H7:I7"/>
    <mergeCell ref="J7:K7"/>
    <mergeCell ref="L7:N7"/>
    <mergeCell ref="B8:C8"/>
    <mergeCell ref="E8:G8"/>
    <mergeCell ref="H8:I8"/>
    <mergeCell ref="J8:K8"/>
    <mergeCell ref="L8:N8"/>
    <mergeCell ref="L11:N11"/>
    <mergeCell ref="L12:N12"/>
    <mergeCell ref="L13:N13"/>
    <mergeCell ref="L14:N14"/>
    <mergeCell ref="L15:N15"/>
    <mergeCell ref="I17:N17"/>
  </mergeCells>
  <conditionalFormatting sqref="I21:I34">
    <cfRule type="dataBar" priority="2">
      <dataBar showValue="1" minLength="10" maxLength="90">
        <cfvo type="num" val="0"/>
        <cfvo type="num" val="1"/>
        <color rgb="FFB0245E"/>
      </dataBar>
      <extLst>
        <ext xmlns:x14="http://schemas.microsoft.com/office/spreadsheetml/2009/9/main" uri="{B025F937-C7B1-47D3-B67F-A62EFF666E3E}">
          <x14:id>{2764F741-ED30-4740-9C1E-EB43A8CEE732}</x14:id>
        </ext>
      </extLst>
    </cfRule>
  </conditionalFormatting>
  <conditionalFormatting sqref="J21:J34">
    <cfRule type="expression" priority="3" aboveAverage="0" equalAverage="0" bottom="0" percent="0" rank="0" text="" dxfId="0">
      <formula>$J21="NO WO"</formula>
    </cfRule>
    <cfRule type="expression" priority="4" aboveAverage="0" equalAverage="0" bottom="0" percent="0" rank="0" text="" dxfId="1">
      <formula>LEFT($J21,5)="SHORT"</formula>
    </cfRule>
    <cfRule type="expression" priority="5" aboveAverage="0" equalAverage="0" bottom="0" percent="0" rank="0" text="" dxfId="2">
      <formula>$J21="COVERED"</formula>
    </cfRule>
    <cfRule type="expression" priority="6" aboveAverage="0" equalAverage="0" bottom="0" percent="0" rank="0" text="" dxfId="3">
      <formula>$J21="OVER"</formula>
    </cfRule>
  </conditionalFormatting>
  <conditionalFormatting sqref="N21:N34">
    <cfRule type="expression" priority="7" aboveAverage="0" equalAverage="0" bottom="0" percent="0" rank="0" text="" dxfId="4">
      <formula>LEFT($N21,5)="CHECK"</formula>
    </cfRule>
  </conditionalFormatting>
  <conditionalFormatting sqref="B21:B34">
    <cfRule type="expression" priority="8" aboveAverage="0" equalAverage="0" bottom="0" percent="0" rank="0" text="" dxfId="5">
      <formula>$B21=$B20</formula>
    </cfRule>
  </conditionalFormatting>
  <conditionalFormatting sqref="L7">
    <cfRule type="cellIs" priority="9" operator="greaterThan" aboveAverage="0" equalAverage="0" bottom="0" percent="0" rank="0" text="" dxfId="6">
      <formula>0</formula>
    </cfRule>
  </conditionalFormatting>
  <conditionalFormatting sqref="J7">
    <cfRule type="cellIs" priority="10" operator="greaterThan" aboveAverage="0" equalAverage="0" bottom="0" percent="0" rank="0" text="" dxfId="6">
      <formula>0</formula>
    </cfRule>
  </conditionalFormatting>
  <conditionalFormatting sqref="D12:D17">
    <cfRule type="dataBar" priority="11">
      <dataBar showValue="0" minLength="10" maxLength="90">
        <cfvo type="num" val="0"/>
        <cfvo type="num" val="1"/>
        <color rgb="FFB0245E"/>
      </dataBar>
      <extLst>
        <ext xmlns:x14="http://schemas.microsoft.com/office/spreadsheetml/2009/9/main" uri="{B025F937-C7B1-47D3-B67F-A62EFF666E3E}">
          <x14:id>{3FC478A0-A250-494D-BFA0-5C7C9C515070}</x14:id>
        </ext>
      </extLst>
    </cfRule>
  </conditionalFormatting>
  <conditionalFormatting sqref="L12:L15">
    <cfRule type="dataBar" priority="12">
      <dataBar showValue="1" minLength="10" maxLength="90">
        <cfvo type="num" val="0"/>
        <cfvo type="num" val="1"/>
        <color rgb="FF8A91A0"/>
      </dataBar>
      <extLst>
        <ext xmlns:x14="http://schemas.microsoft.com/office/spreadsheetml/2009/9/main" uri="{B025F937-C7B1-47D3-B67F-A62EFF666E3E}">
          <x14:id>{9C671858-EF5C-49FC-93A2-812724E5A7A8}</x14:id>
        </ext>
      </extLst>
    </cfRule>
  </conditionalFormatting>
  <dataValidations count="1">
    <dataValidation allowBlank="false" errorStyle="stop" operator="between" showDropDown="false" showErrorMessage="false" showInputMessage="false" sqref="M2" type="list">
      <formula1>"All,1,2,3,4,5,6,7,8,9,10,11,12,13"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64F741-ED30-4740-9C1E-EB43A8CEE73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0245E"/>
              <x14:axisColor rgb="FF000000"/>
            </x14:dataBar>
          </x14:cfRule>
          <xm:sqref>I21:I34</xm:sqref>
        </x14:conditionalFormatting>
        <x14:conditionalFormatting xmlns:xm="http://schemas.microsoft.com/office/excel/2006/main">
          <x14:cfRule type="dataBar" id="{3FC478A0-A250-494D-BFA0-5C7C9C51507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B0245E"/>
              <x14:axisColor rgb="FF000000"/>
            </x14:dataBar>
          </x14:cfRule>
          <xm:sqref>D12:D17</xm:sqref>
        </x14:conditionalFormatting>
        <x14:conditionalFormatting xmlns:xm="http://schemas.microsoft.com/office/excel/2006/main">
          <x14:cfRule type="dataBar" id="{9C671858-EF5C-49FC-93A2-812724E5A7A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A91A0"/>
              <x14:axisColor rgb="FF000000"/>
            </x14:dataBar>
          </x14:cfRule>
          <xm:sqref>L12:L15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36"/>
  </cols>
  <sheetData>
    <row r="1" customFormat="false" ht="19.7" hidden="false" customHeight="false" outlineLevel="0" collapsed="false">
      <c r="A1" s="42" t="s">
        <v>42</v>
      </c>
    </row>
    <row r="2" customFormat="false" ht="15" hidden="false" customHeight="false" outlineLevel="0" collapsed="false">
      <c r="A2" s="43" t="s">
        <v>43</v>
      </c>
    </row>
    <row r="4" customFormat="false" ht="15" hidden="false" customHeight="false" outlineLevel="0" collapsed="false">
      <c r="A4" s="44" t="s">
        <v>44</v>
      </c>
      <c r="B4" s="44" t="s">
        <v>12</v>
      </c>
      <c r="C4" s="44" t="s">
        <v>35</v>
      </c>
      <c r="D4" s="44" t="s">
        <v>45</v>
      </c>
      <c r="E4" s="44" t="s">
        <v>37</v>
      </c>
      <c r="F4" s="44" t="s">
        <v>46</v>
      </c>
      <c r="G4" s="44" t="s">
        <v>47</v>
      </c>
      <c r="H4" s="44" t="s">
        <v>48</v>
      </c>
      <c r="I4" s="44" t="s">
        <v>49</v>
      </c>
    </row>
    <row r="5" customFormat="false" ht="15" hidden="false" customHeight="false" outlineLevel="0" collapsed="false">
      <c r="A5" s="45" t="s">
        <v>50</v>
      </c>
      <c r="B5" s="46" t="s">
        <v>22</v>
      </c>
      <c r="C5" s="46" t="s">
        <v>51</v>
      </c>
      <c r="D5" s="46" t="s">
        <v>52</v>
      </c>
      <c r="E5" s="45" t="n">
        <v>1</v>
      </c>
      <c r="F5" s="45" t="s">
        <v>53</v>
      </c>
      <c r="G5" s="45" t="n">
        <v>1</v>
      </c>
      <c r="H5" s="45" t="n">
        <v>1</v>
      </c>
      <c r="I5" s="47" t="str">
        <f aca="false">IF(E5=H5*G5,"OK","CHECK: release ≠ default × reps ("&amp;H5*G5&amp;")")</f>
        <v>OK</v>
      </c>
    </row>
    <row r="6" customFormat="false" ht="15" hidden="false" customHeight="false" outlineLevel="0" collapsed="false">
      <c r="A6" s="45" t="s">
        <v>50</v>
      </c>
      <c r="B6" s="46" t="s">
        <v>22</v>
      </c>
      <c r="C6" s="46" t="s">
        <v>54</v>
      </c>
      <c r="D6" s="46" t="s">
        <v>55</v>
      </c>
      <c r="E6" s="45" t="n">
        <v>2</v>
      </c>
      <c r="F6" s="45" t="s">
        <v>53</v>
      </c>
      <c r="G6" s="45" t="n">
        <v>1</v>
      </c>
      <c r="H6" s="45" t="n">
        <v>2</v>
      </c>
      <c r="I6" s="47" t="str">
        <f aca="false">IF(E6=H6*G6,"OK","CHECK: release ≠ default × reps ("&amp;H6*G6&amp;")")</f>
        <v>OK</v>
      </c>
    </row>
    <row r="7" customFormat="false" ht="15" hidden="false" customHeight="false" outlineLevel="0" collapsed="false">
      <c r="A7" s="45" t="s">
        <v>50</v>
      </c>
      <c r="B7" s="46" t="s">
        <v>24</v>
      </c>
      <c r="C7" s="46" t="s">
        <v>56</v>
      </c>
      <c r="D7" s="46" t="s">
        <v>57</v>
      </c>
      <c r="E7" s="45" t="n">
        <v>3</v>
      </c>
      <c r="F7" s="45" t="s">
        <v>53</v>
      </c>
      <c r="G7" s="45" t="n">
        <v>1</v>
      </c>
      <c r="H7" s="45" t="n">
        <v>3</v>
      </c>
      <c r="I7" s="47" t="str">
        <f aca="false">IF(E7=H7*G7,"OK","CHECK: release ≠ default × reps ("&amp;H7*G7&amp;")")</f>
        <v>OK</v>
      </c>
    </row>
    <row r="8" customFormat="false" ht="15" hidden="false" customHeight="false" outlineLevel="0" collapsed="false">
      <c r="A8" s="45" t="s">
        <v>50</v>
      </c>
      <c r="B8" s="46" t="s">
        <v>26</v>
      </c>
      <c r="C8" s="46" t="s">
        <v>58</v>
      </c>
      <c r="D8" s="46" t="s">
        <v>59</v>
      </c>
      <c r="E8" s="45" t="n">
        <v>1</v>
      </c>
      <c r="F8" s="45" t="s">
        <v>53</v>
      </c>
      <c r="G8" s="45" t="n">
        <v>1</v>
      </c>
      <c r="H8" s="45" t="n">
        <v>1</v>
      </c>
      <c r="I8" s="47" t="str">
        <f aca="false">IF(E8=H8*G8,"OK","CHECK: release ≠ default × reps ("&amp;H8*G8&amp;")")</f>
        <v>OK</v>
      </c>
    </row>
    <row r="9" customFormat="false" ht="15" hidden="false" customHeight="false" outlineLevel="0" collapsed="false">
      <c r="A9" s="45" t="s">
        <v>50</v>
      </c>
      <c r="B9" s="46" t="s">
        <v>26</v>
      </c>
      <c r="C9" s="46" t="s">
        <v>60</v>
      </c>
      <c r="D9" s="46" t="s">
        <v>61</v>
      </c>
      <c r="E9" s="45" t="n">
        <v>2</v>
      </c>
      <c r="F9" s="45" t="s">
        <v>53</v>
      </c>
      <c r="G9" s="45" t="n">
        <v>1</v>
      </c>
      <c r="H9" s="45" t="n">
        <v>2</v>
      </c>
      <c r="I9" s="47" t="str">
        <f aca="false">IF(E9=H9*G9,"OK","CHECK: release ≠ default × reps ("&amp;H9*G9&amp;")")</f>
        <v>OK</v>
      </c>
    </row>
    <row r="10" customFormat="false" ht="15" hidden="false" customHeight="false" outlineLevel="0" collapsed="false">
      <c r="A10" s="45" t="s">
        <v>50</v>
      </c>
      <c r="B10" s="46" t="s">
        <v>28</v>
      </c>
      <c r="C10" s="46" t="s">
        <v>62</v>
      </c>
      <c r="D10" s="46" t="s">
        <v>63</v>
      </c>
      <c r="E10" s="45" t="n">
        <v>3</v>
      </c>
      <c r="F10" s="45" t="s">
        <v>53</v>
      </c>
      <c r="G10" s="45" t="n">
        <v>1</v>
      </c>
      <c r="H10" s="45" t="n">
        <v>3</v>
      </c>
      <c r="I10" s="47" t="str">
        <f aca="false">IF(E10=H10*G10,"OK","CHECK: release ≠ default × reps ("&amp;H10*G10&amp;")")</f>
        <v>OK</v>
      </c>
    </row>
    <row r="11" customFormat="false" ht="15" hidden="false" customHeight="false" outlineLevel="0" collapsed="false">
      <c r="A11" s="45" t="s">
        <v>50</v>
      </c>
      <c r="B11" s="46" t="s">
        <v>30</v>
      </c>
      <c r="C11" s="46" t="s">
        <v>64</v>
      </c>
      <c r="D11" s="46" t="s">
        <v>65</v>
      </c>
      <c r="E11" s="45" t="n">
        <v>24</v>
      </c>
      <c r="F11" s="45" t="s">
        <v>53</v>
      </c>
      <c r="G11" s="45" t="n">
        <v>1</v>
      </c>
      <c r="H11" s="45" t="n">
        <v>24</v>
      </c>
      <c r="I11" s="47" t="str">
        <f aca="false">IF(E11=H11*G11,"OK","CHECK: release ≠ default × reps ("&amp;H11*G11&amp;")")</f>
        <v>OK</v>
      </c>
    </row>
    <row r="12" customFormat="false" ht="15" hidden="false" customHeight="false" outlineLevel="0" collapsed="false">
      <c r="A12" s="45" t="s">
        <v>50</v>
      </c>
      <c r="B12" s="46" t="s">
        <v>30</v>
      </c>
      <c r="C12" s="46" t="s">
        <v>66</v>
      </c>
      <c r="D12" s="46" t="s">
        <v>67</v>
      </c>
      <c r="E12" s="45" t="n">
        <v>3</v>
      </c>
      <c r="F12" s="45" t="s">
        <v>53</v>
      </c>
      <c r="G12" s="45" t="n">
        <v>1</v>
      </c>
      <c r="H12" s="45" t="n">
        <v>3</v>
      </c>
      <c r="I12" s="47" t="str">
        <f aca="false">IF(E12=H12*G12,"OK","CHECK: release ≠ default × reps ("&amp;H12*G12&amp;")")</f>
        <v>OK</v>
      </c>
    </row>
    <row r="13" customFormat="false" ht="15" hidden="false" customHeight="false" outlineLevel="0" collapsed="false">
      <c r="A13" s="45" t="s">
        <v>50</v>
      </c>
      <c r="B13" s="46" t="s">
        <v>30</v>
      </c>
      <c r="C13" s="46" t="s">
        <v>68</v>
      </c>
      <c r="D13" s="46" t="s">
        <v>69</v>
      </c>
      <c r="E13" s="45" t="n">
        <v>3</v>
      </c>
      <c r="F13" s="45" t="s">
        <v>53</v>
      </c>
      <c r="G13" s="45" t="n">
        <v>1</v>
      </c>
      <c r="H13" s="45" t="n">
        <v>3</v>
      </c>
      <c r="I13" s="47" t="str">
        <f aca="false">IF(E13=H13*G13,"OK","CHECK: release ≠ default × reps ("&amp;H13*G13&amp;")")</f>
        <v>OK</v>
      </c>
    </row>
    <row r="14" customFormat="false" ht="15" hidden="false" customHeight="false" outlineLevel="0" collapsed="false">
      <c r="A14" s="45" t="s">
        <v>50</v>
      </c>
      <c r="B14" s="46" t="s">
        <v>30</v>
      </c>
      <c r="C14" s="46" t="s">
        <v>70</v>
      </c>
      <c r="D14" s="46" t="s">
        <v>71</v>
      </c>
      <c r="E14" s="45" t="n">
        <v>3</v>
      </c>
      <c r="F14" s="45" t="s">
        <v>53</v>
      </c>
      <c r="G14" s="45" t="n">
        <v>1</v>
      </c>
      <c r="H14" s="45" t="n">
        <v>3</v>
      </c>
      <c r="I14" s="47" t="str">
        <f aca="false">IF(E14=H14*G14,"OK","CHECK: release ≠ default × reps ("&amp;H14*G14&amp;")")</f>
        <v>OK</v>
      </c>
    </row>
    <row r="15" customFormat="false" ht="15" hidden="false" customHeight="false" outlineLevel="0" collapsed="false">
      <c r="A15" s="45" t="s">
        <v>50</v>
      </c>
      <c r="B15" s="46" t="s">
        <v>30</v>
      </c>
      <c r="C15" s="46" t="s">
        <v>72</v>
      </c>
      <c r="D15" s="46" t="s">
        <v>73</v>
      </c>
      <c r="E15" s="45" t="n">
        <v>3</v>
      </c>
      <c r="F15" s="45" t="s">
        <v>53</v>
      </c>
      <c r="G15" s="45" t="n">
        <v>1</v>
      </c>
      <c r="H15" s="45" t="n">
        <v>3</v>
      </c>
      <c r="I15" s="47" t="str">
        <f aca="false">IF(E15=H15*G15,"OK","CHECK: release ≠ default × reps ("&amp;H15*G15&amp;")")</f>
        <v>OK</v>
      </c>
    </row>
    <row r="16" customFormat="false" ht="15" hidden="false" customHeight="false" outlineLevel="0" collapsed="false">
      <c r="A16" s="45" t="s">
        <v>50</v>
      </c>
      <c r="B16" s="46" t="s">
        <v>32</v>
      </c>
      <c r="C16" s="46" t="s">
        <v>74</v>
      </c>
      <c r="D16" s="46" t="s">
        <v>75</v>
      </c>
      <c r="E16" s="45" t="n">
        <v>1</v>
      </c>
      <c r="F16" s="45" t="s">
        <v>53</v>
      </c>
      <c r="G16" s="45" t="n">
        <v>1</v>
      </c>
      <c r="H16" s="45" t="n">
        <v>1</v>
      </c>
      <c r="I16" s="47" t="str">
        <f aca="false">IF(E16=H16*G16,"OK","CHECK: release ≠ default × reps ("&amp;H16*G16&amp;")")</f>
        <v>OK</v>
      </c>
    </row>
    <row r="17" customFormat="false" ht="15" hidden="false" customHeight="false" outlineLevel="0" collapsed="false">
      <c r="A17" s="45" t="s">
        <v>50</v>
      </c>
      <c r="B17" s="46" t="s">
        <v>32</v>
      </c>
      <c r="C17" s="46" t="s">
        <v>76</v>
      </c>
      <c r="D17" s="46" t="s">
        <v>77</v>
      </c>
      <c r="E17" s="45" t="n">
        <v>1</v>
      </c>
      <c r="F17" s="45" t="s">
        <v>53</v>
      </c>
      <c r="G17" s="45" t="n">
        <v>1</v>
      </c>
      <c r="H17" s="45" t="n">
        <v>1</v>
      </c>
      <c r="I17" s="47" t="str">
        <f aca="false">IF(E17=H17*G17,"OK","CHECK: release ≠ default × reps ("&amp;H17*G17&amp;")")</f>
        <v>OK</v>
      </c>
    </row>
    <row r="18" customFormat="false" ht="15" hidden="false" customHeight="false" outlineLevel="0" collapsed="false">
      <c r="A18" s="45" t="s">
        <v>50</v>
      </c>
      <c r="B18" s="46" t="s">
        <v>32</v>
      </c>
      <c r="C18" s="46" t="s">
        <v>78</v>
      </c>
      <c r="D18" s="46" t="s">
        <v>79</v>
      </c>
      <c r="E18" s="45" t="n">
        <v>1</v>
      </c>
      <c r="F18" s="45" t="s">
        <v>53</v>
      </c>
      <c r="G18" s="45" t="n">
        <v>1</v>
      </c>
      <c r="H18" s="45" t="n">
        <v>1</v>
      </c>
      <c r="I18" s="47" t="str">
        <f aca="false">IF(E18=H18*G18,"OK","CHECK: release ≠ default × reps ("&amp;H18*G18&amp;")")</f>
        <v>OK</v>
      </c>
    </row>
    <row r="20" customFormat="false" ht="15" hidden="false" customHeight="false" outlineLevel="0" collapsed="false">
      <c r="A20" s="48" t="s">
        <v>80</v>
      </c>
    </row>
    <row r="21" customFormat="false" ht="15" hidden="false" customHeight="false" outlineLevel="0" collapsed="false">
      <c r="A21" s="49" t="s">
        <v>44</v>
      </c>
      <c r="B21" s="50" t="s">
        <v>50</v>
      </c>
    </row>
    <row r="22" customFormat="false" ht="15" hidden="false" customHeight="false" outlineLevel="0" collapsed="false">
      <c r="A22" s="49" t="s">
        <v>81</v>
      </c>
      <c r="B22" s="50" t="s">
        <v>82</v>
      </c>
    </row>
    <row r="23" customFormat="false" ht="15" hidden="false" customHeight="false" outlineLevel="0" collapsed="false">
      <c r="A23" s="49" t="s">
        <v>83</v>
      </c>
      <c r="B23" s="50" t="s">
        <v>84</v>
      </c>
    </row>
    <row r="24" customFormat="false" ht="15" hidden="false" customHeight="false" outlineLevel="0" collapsed="false">
      <c r="A24" s="49" t="s">
        <v>85</v>
      </c>
      <c r="B24" s="50" t="s">
        <v>86</v>
      </c>
    </row>
    <row r="25" customFormat="false" ht="15" hidden="false" customHeight="false" outlineLevel="0" collapsed="false">
      <c r="A25" s="49" t="s">
        <v>87</v>
      </c>
      <c r="B25" s="50" t="s">
        <v>88</v>
      </c>
    </row>
    <row r="26" customFormat="false" ht="15" hidden="false" customHeight="false" outlineLevel="0" collapsed="false">
      <c r="A26" s="49" t="s">
        <v>89</v>
      </c>
      <c r="B26" s="50" t="s">
        <v>90</v>
      </c>
    </row>
  </sheetData>
  <conditionalFormatting sqref="I5:I18">
    <cfRule type="expression" priority="2" aboveAverage="0" equalAverage="0" bottom="0" percent="0" rank="0" text="" dxfId="1">
      <formula>LEFT($I5,5)="CHECK"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42"/>
    <col collapsed="false" customWidth="true" hidden="false" outlineLevel="0" max="4" min="4" style="0" width="15"/>
    <col collapsed="false" customWidth="true" hidden="false" outlineLevel="0" max="6" min="5" style="0" width="11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28"/>
    <col collapsed="false" customWidth="true" hidden="false" outlineLevel="0" max="12" min="12" style="0" width="16"/>
  </cols>
  <sheetData>
    <row r="1" customFormat="false" ht="19.7" hidden="false" customHeight="false" outlineLevel="0" collapsed="false">
      <c r="A1" s="42" t="s">
        <v>7</v>
      </c>
    </row>
    <row r="2" customFormat="false" ht="15" hidden="false" customHeight="false" outlineLevel="0" collapsed="false">
      <c r="A2" s="43" t="s">
        <v>91</v>
      </c>
    </row>
    <row r="3" customFormat="false" ht="15" hidden="false" customHeight="false" outlineLevel="0" collapsed="false">
      <c r="A3" s="43" t="s">
        <v>92</v>
      </c>
    </row>
    <row r="4" customFormat="false" ht="19.4" hidden="false" customHeight="false" outlineLevel="0" collapsed="false">
      <c r="E4" s="51" t="s">
        <v>93</v>
      </c>
      <c r="G4" s="51" t="s">
        <v>94</v>
      </c>
      <c r="I4" s="51" t="s">
        <v>95</v>
      </c>
    </row>
    <row r="5" customFormat="false" ht="15" hidden="false" customHeight="false" outlineLevel="0" collapsed="false">
      <c r="A5" s="52" t="s">
        <v>96</v>
      </c>
      <c r="B5" s="52" t="s">
        <v>35</v>
      </c>
      <c r="C5" s="44" t="s">
        <v>36</v>
      </c>
      <c r="D5" s="44" t="s">
        <v>12</v>
      </c>
      <c r="E5" s="52" t="s">
        <v>97</v>
      </c>
      <c r="F5" s="44" t="s">
        <v>98</v>
      </c>
      <c r="G5" s="52" t="s">
        <v>99</v>
      </c>
      <c r="H5" s="44" t="s">
        <v>16</v>
      </c>
      <c r="I5" s="52" t="s">
        <v>18</v>
      </c>
      <c r="J5" s="52" t="s">
        <v>100</v>
      </c>
      <c r="K5" s="52" t="s">
        <v>101</v>
      </c>
      <c r="L5" s="44" t="s">
        <v>102</v>
      </c>
    </row>
    <row r="6" customFormat="false" ht="15" hidden="false" customHeight="false" outlineLevel="0" collapsed="false">
      <c r="A6" s="46"/>
      <c r="B6" s="46"/>
      <c r="C6" s="53" t="str">
        <f aca="false">IF(B6="","",IFERROR(INDEX('Kitting Plan'!$D$5:$D$18,MATCH(B6,'Kitting Plan'!$C$5:$C$18,0)),"Unknown code"))</f>
        <v/>
      </c>
      <c r="D6" s="53" t="str">
        <f aca="false">IF(B6="","",IFERROR(INDEX('Kitting Plan'!$B$5:$B$18,MATCH(B6,'Kitting Plan'!$C$5:$C$18,0)),""))</f>
        <v/>
      </c>
      <c r="E6" s="45"/>
      <c r="F6" s="54" t="str">
        <f aca="false">IF(B6="","",IFERROR(IF(OR(E6="",E6="All"),INDEX('Kitting Plan'!$E$5:$E$18,MATCH(B6,'Kitting Plan'!$C$5:$C$18,0)),INDEX('Kitting Plan'!$H$5:$H$18,MATCH(B6,'Kitting Plan'!$C$5:$C$18,0))),""))</f>
        <v/>
      </c>
      <c r="G6" s="45"/>
      <c r="H6" s="55" t="str">
        <f aca="false">IF(B6="","",IF(G6="",F6,G6))</f>
        <v/>
      </c>
      <c r="I6" s="45"/>
      <c r="J6" s="56"/>
      <c r="K6" s="46"/>
      <c r="L6" s="53" t="str">
        <f aca="false">IF(A6="","",IF(B6="","Missing code",IF(C6="Unknown code","Unknown code",IF(COUNTIF($A$6:$A$505,A6)&gt;1,"Duplicate WO",""))))</f>
        <v/>
      </c>
    </row>
    <row r="7" customFormat="false" ht="15" hidden="false" customHeight="false" outlineLevel="0" collapsed="false">
      <c r="A7" s="46"/>
      <c r="B7" s="46"/>
      <c r="C7" s="53" t="str">
        <f aca="false">IF(B7="","",IFERROR(INDEX('Kitting Plan'!$D$5:$D$18,MATCH(B7,'Kitting Plan'!$C$5:$C$18,0)),"Unknown code"))</f>
        <v/>
      </c>
      <c r="D7" s="53" t="str">
        <f aca="false">IF(B7="","",IFERROR(INDEX('Kitting Plan'!$B$5:$B$18,MATCH(B7,'Kitting Plan'!$C$5:$C$18,0)),""))</f>
        <v/>
      </c>
      <c r="E7" s="45"/>
      <c r="F7" s="54" t="str">
        <f aca="false">IF(B7="","",IFERROR(IF(OR(E7="",E7="All"),INDEX('Kitting Plan'!$E$5:$E$18,MATCH(B7,'Kitting Plan'!$C$5:$C$18,0)),INDEX('Kitting Plan'!$H$5:$H$18,MATCH(B7,'Kitting Plan'!$C$5:$C$18,0))),""))</f>
        <v/>
      </c>
      <c r="G7" s="45"/>
      <c r="H7" s="55" t="str">
        <f aca="false">IF(B7="","",IF(G7="",F7,G7))</f>
        <v/>
      </c>
      <c r="I7" s="45"/>
      <c r="J7" s="56"/>
      <c r="K7" s="46"/>
      <c r="L7" s="53" t="str">
        <f aca="false">IF(A7="","",IF(B7="","Missing code",IF(C7="Unknown code","Unknown code",IF(COUNTIF($A$6:$A$505,A7)&gt;1,"Duplicate WO",""))))</f>
        <v/>
      </c>
    </row>
    <row r="8" customFormat="false" ht="15" hidden="false" customHeight="false" outlineLevel="0" collapsed="false">
      <c r="A8" s="46"/>
      <c r="B8" s="46"/>
      <c r="C8" s="53" t="str">
        <f aca="false">IF(B8="","",IFERROR(INDEX('Kitting Plan'!$D$5:$D$18,MATCH(B8,'Kitting Plan'!$C$5:$C$18,0)),"Unknown code"))</f>
        <v/>
      </c>
      <c r="D8" s="53" t="str">
        <f aca="false">IF(B8="","",IFERROR(INDEX('Kitting Plan'!$B$5:$B$18,MATCH(B8,'Kitting Plan'!$C$5:$C$18,0)),""))</f>
        <v/>
      </c>
      <c r="E8" s="45"/>
      <c r="F8" s="54" t="str">
        <f aca="false">IF(B8="","",IFERROR(IF(OR(E8="",E8="All"),INDEX('Kitting Plan'!$E$5:$E$18,MATCH(B8,'Kitting Plan'!$C$5:$C$18,0)),INDEX('Kitting Plan'!$H$5:$H$18,MATCH(B8,'Kitting Plan'!$C$5:$C$18,0))),""))</f>
        <v/>
      </c>
      <c r="G8" s="45"/>
      <c r="H8" s="55" t="str">
        <f aca="false">IF(B8="","",IF(G8="",F8,G8))</f>
        <v/>
      </c>
      <c r="I8" s="45"/>
      <c r="J8" s="56"/>
      <c r="K8" s="46"/>
      <c r="L8" s="53" t="str">
        <f aca="false">IF(A8="","",IF(B8="","Missing code",IF(C8="Unknown code","Unknown code",IF(COUNTIF($A$6:$A$505,A8)&gt;1,"Duplicate WO",""))))</f>
        <v/>
      </c>
    </row>
    <row r="9" customFormat="false" ht="15" hidden="false" customHeight="false" outlineLevel="0" collapsed="false">
      <c r="A9" s="46"/>
      <c r="B9" s="46"/>
      <c r="C9" s="53" t="str">
        <f aca="false">IF(B9="","",IFERROR(INDEX('Kitting Plan'!$D$5:$D$18,MATCH(B9,'Kitting Plan'!$C$5:$C$18,0)),"Unknown code"))</f>
        <v/>
      </c>
      <c r="D9" s="53" t="str">
        <f aca="false">IF(B9="","",IFERROR(INDEX('Kitting Plan'!$B$5:$B$18,MATCH(B9,'Kitting Plan'!$C$5:$C$18,0)),""))</f>
        <v/>
      </c>
      <c r="E9" s="45"/>
      <c r="F9" s="54" t="str">
        <f aca="false">IF(B9="","",IFERROR(IF(OR(E9="",E9="All"),INDEX('Kitting Plan'!$E$5:$E$18,MATCH(B9,'Kitting Plan'!$C$5:$C$18,0)),INDEX('Kitting Plan'!$H$5:$H$18,MATCH(B9,'Kitting Plan'!$C$5:$C$18,0))),""))</f>
        <v/>
      </c>
      <c r="G9" s="45"/>
      <c r="H9" s="55" t="str">
        <f aca="false">IF(B9="","",IF(G9="",F9,G9))</f>
        <v/>
      </c>
      <c r="I9" s="45"/>
      <c r="J9" s="56"/>
      <c r="K9" s="46"/>
      <c r="L9" s="53" t="str">
        <f aca="false">IF(A9="","",IF(B9="","Missing code",IF(C9="Unknown code","Unknown code",IF(COUNTIF($A$6:$A$505,A9)&gt;1,"Duplicate WO",""))))</f>
        <v/>
      </c>
    </row>
    <row r="10" customFormat="false" ht="15" hidden="false" customHeight="false" outlineLevel="0" collapsed="false">
      <c r="A10" s="46"/>
      <c r="B10" s="46"/>
      <c r="C10" s="53" t="str">
        <f aca="false">IF(B10="","",IFERROR(INDEX('Kitting Plan'!$D$5:$D$18,MATCH(B10,'Kitting Plan'!$C$5:$C$18,0)),"Unknown code"))</f>
        <v/>
      </c>
      <c r="D10" s="53" t="str">
        <f aca="false">IF(B10="","",IFERROR(INDEX('Kitting Plan'!$B$5:$B$18,MATCH(B10,'Kitting Plan'!$C$5:$C$18,0)),""))</f>
        <v/>
      </c>
      <c r="E10" s="45"/>
      <c r="F10" s="54" t="str">
        <f aca="false">IF(B10="","",IFERROR(IF(OR(E10="",E10="All"),INDEX('Kitting Plan'!$E$5:$E$18,MATCH(B10,'Kitting Plan'!$C$5:$C$18,0)),INDEX('Kitting Plan'!$H$5:$H$18,MATCH(B10,'Kitting Plan'!$C$5:$C$18,0))),""))</f>
        <v/>
      </c>
      <c r="G10" s="45"/>
      <c r="H10" s="55" t="str">
        <f aca="false">IF(B10="","",IF(G10="",F10,G10))</f>
        <v/>
      </c>
      <c r="I10" s="45"/>
      <c r="J10" s="56"/>
      <c r="K10" s="46"/>
      <c r="L10" s="53" t="str">
        <f aca="false">IF(A10="","",IF(B10="","Missing code",IF(C10="Unknown code","Unknown code",IF(COUNTIF($A$6:$A$505,A10)&gt;1,"Duplicate WO",""))))</f>
        <v/>
      </c>
    </row>
    <row r="11" customFormat="false" ht="15" hidden="false" customHeight="false" outlineLevel="0" collapsed="false">
      <c r="A11" s="46"/>
      <c r="B11" s="46"/>
      <c r="C11" s="53" t="str">
        <f aca="false">IF(B11="","",IFERROR(INDEX('Kitting Plan'!$D$5:$D$18,MATCH(B11,'Kitting Plan'!$C$5:$C$18,0)),"Unknown code"))</f>
        <v/>
      </c>
      <c r="D11" s="53" t="str">
        <f aca="false">IF(B11="","",IFERROR(INDEX('Kitting Plan'!$B$5:$B$18,MATCH(B11,'Kitting Plan'!$C$5:$C$18,0)),""))</f>
        <v/>
      </c>
      <c r="E11" s="45"/>
      <c r="F11" s="54" t="str">
        <f aca="false">IF(B11="","",IFERROR(IF(OR(E11="",E11="All"),INDEX('Kitting Plan'!$E$5:$E$18,MATCH(B11,'Kitting Plan'!$C$5:$C$18,0)),INDEX('Kitting Plan'!$H$5:$H$18,MATCH(B11,'Kitting Plan'!$C$5:$C$18,0))),""))</f>
        <v/>
      </c>
      <c r="G11" s="45"/>
      <c r="H11" s="55" t="str">
        <f aca="false">IF(B11="","",IF(G11="",F11,G11))</f>
        <v/>
      </c>
      <c r="I11" s="45"/>
      <c r="J11" s="56"/>
      <c r="K11" s="46"/>
      <c r="L11" s="53" t="str">
        <f aca="false">IF(A11="","",IF(B11="","Missing code",IF(C11="Unknown code","Unknown code",IF(COUNTIF($A$6:$A$505,A11)&gt;1,"Duplicate WO",""))))</f>
        <v/>
      </c>
    </row>
    <row r="12" customFormat="false" ht="15" hidden="false" customHeight="false" outlineLevel="0" collapsed="false">
      <c r="A12" s="46"/>
      <c r="B12" s="46"/>
      <c r="C12" s="53" t="str">
        <f aca="false">IF(B12="","",IFERROR(INDEX('Kitting Plan'!$D$5:$D$18,MATCH(B12,'Kitting Plan'!$C$5:$C$18,0)),"Unknown code"))</f>
        <v/>
      </c>
      <c r="D12" s="53" t="str">
        <f aca="false">IF(B12="","",IFERROR(INDEX('Kitting Plan'!$B$5:$B$18,MATCH(B12,'Kitting Plan'!$C$5:$C$18,0)),""))</f>
        <v/>
      </c>
      <c r="E12" s="45"/>
      <c r="F12" s="54" t="str">
        <f aca="false">IF(B12="","",IFERROR(IF(OR(E12="",E12="All"),INDEX('Kitting Plan'!$E$5:$E$18,MATCH(B12,'Kitting Plan'!$C$5:$C$18,0)),INDEX('Kitting Plan'!$H$5:$H$18,MATCH(B12,'Kitting Plan'!$C$5:$C$18,0))),""))</f>
        <v/>
      </c>
      <c r="G12" s="45"/>
      <c r="H12" s="55" t="str">
        <f aca="false">IF(B12="","",IF(G12="",F12,G12))</f>
        <v/>
      </c>
      <c r="I12" s="45"/>
      <c r="J12" s="56"/>
      <c r="K12" s="46"/>
      <c r="L12" s="53" t="str">
        <f aca="false">IF(A12="","",IF(B12="","Missing code",IF(C12="Unknown code","Unknown code",IF(COUNTIF($A$6:$A$505,A12)&gt;1,"Duplicate WO",""))))</f>
        <v/>
      </c>
    </row>
    <row r="13" customFormat="false" ht="15" hidden="false" customHeight="false" outlineLevel="0" collapsed="false">
      <c r="A13" s="46"/>
      <c r="B13" s="46"/>
      <c r="C13" s="53" t="str">
        <f aca="false">IF(B13="","",IFERROR(INDEX('Kitting Plan'!$D$5:$D$18,MATCH(B13,'Kitting Plan'!$C$5:$C$18,0)),"Unknown code"))</f>
        <v/>
      </c>
      <c r="D13" s="53" t="str">
        <f aca="false">IF(B13="","",IFERROR(INDEX('Kitting Plan'!$B$5:$B$18,MATCH(B13,'Kitting Plan'!$C$5:$C$18,0)),""))</f>
        <v/>
      </c>
      <c r="E13" s="45"/>
      <c r="F13" s="54" t="str">
        <f aca="false">IF(B13="","",IFERROR(IF(OR(E13="",E13="All"),INDEX('Kitting Plan'!$E$5:$E$18,MATCH(B13,'Kitting Plan'!$C$5:$C$18,0)),INDEX('Kitting Plan'!$H$5:$H$18,MATCH(B13,'Kitting Plan'!$C$5:$C$18,0))),""))</f>
        <v/>
      </c>
      <c r="G13" s="45"/>
      <c r="H13" s="55" t="str">
        <f aca="false">IF(B13="","",IF(G13="",F13,G13))</f>
        <v/>
      </c>
      <c r="I13" s="45"/>
      <c r="J13" s="56"/>
      <c r="K13" s="46"/>
      <c r="L13" s="53" t="str">
        <f aca="false">IF(A13="","",IF(B13="","Missing code",IF(C13="Unknown code","Unknown code",IF(COUNTIF($A$6:$A$505,A13)&gt;1,"Duplicate WO",""))))</f>
        <v/>
      </c>
    </row>
    <row r="14" customFormat="false" ht="15" hidden="false" customHeight="false" outlineLevel="0" collapsed="false">
      <c r="A14" s="46"/>
      <c r="B14" s="46"/>
      <c r="C14" s="53" t="str">
        <f aca="false">IF(B14="","",IFERROR(INDEX('Kitting Plan'!$D$5:$D$18,MATCH(B14,'Kitting Plan'!$C$5:$C$18,0)),"Unknown code"))</f>
        <v/>
      </c>
      <c r="D14" s="53" t="str">
        <f aca="false">IF(B14="","",IFERROR(INDEX('Kitting Plan'!$B$5:$B$18,MATCH(B14,'Kitting Plan'!$C$5:$C$18,0)),""))</f>
        <v/>
      </c>
      <c r="E14" s="45"/>
      <c r="F14" s="54" t="str">
        <f aca="false">IF(B14="","",IFERROR(IF(OR(E14="",E14="All"),INDEX('Kitting Plan'!$E$5:$E$18,MATCH(B14,'Kitting Plan'!$C$5:$C$18,0)),INDEX('Kitting Plan'!$H$5:$H$18,MATCH(B14,'Kitting Plan'!$C$5:$C$18,0))),""))</f>
        <v/>
      </c>
      <c r="G14" s="45"/>
      <c r="H14" s="55" t="str">
        <f aca="false">IF(B14="","",IF(G14="",F14,G14))</f>
        <v/>
      </c>
      <c r="I14" s="45"/>
      <c r="J14" s="56"/>
      <c r="K14" s="46"/>
      <c r="L14" s="53" t="str">
        <f aca="false">IF(A14="","",IF(B14="","Missing code",IF(C14="Unknown code","Unknown code",IF(COUNTIF($A$6:$A$505,A14)&gt;1,"Duplicate WO",""))))</f>
        <v/>
      </c>
    </row>
    <row r="15" customFormat="false" ht="15" hidden="false" customHeight="false" outlineLevel="0" collapsed="false">
      <c r="A15" s="46"/>
      <c r="B15" s="46"/>
      <c r="C15" s="53" t="str">
        <f aca="false">IF(B15="","",IFERROR(INDEX('Kitting Plan'!$D$5:$D$18,MATCH(B15,'Kitting Plan'!$C$5:$C$18,0)),"Unknown code"))</f>
        <v/>
      </c>
      <c r="D15" s="53" t="str">
        <f aca="false">IF(B15="","",IFERROR(INDEX('Kitting Plan'!$B$5:$B$18,MATCH(B15,'Kitting Plan'!$C$5:$C$18,0)),""))</f>
        <v/>
      </c>
      <c r="E15" s="45"/>
      <c r="F15" s="54" t="str">
        <f aca="false">IF(B15="","",IFERROR(IF(OR(E15="",E15="All"),INDEX('Kitting Plan'!$E$5:$E$18,MATCH(B15,'Kitting Plan'!$C$5:$C$18,0)),INDEX('Kitting Plan'!$H$5:$H$18,MATCH(B15,'Kitting Plan'!$C$5:$C$18,0))),""))</f>
        <v/>
      </c>
      <c r="G15" s="45"/>
      <c r="H15" s="55" t="str">
        <f aca="false">IF(B15="","",IF(G15="",F15,G15))</f>
        <v/>
      </c>
      <c r="I15" s="45"/>
      <c r="J15" s="56"/>
      <c r="K15" s="46"/>
      <c r="L15" s="53" t="str">
        <f aca="false">IF(A15="","",IF(B15="","Missing code",IF(C15="Unknown code","Unknown code",IF(COUNTIF($A$6:$A$505,A15)&gt;1,"Duplicate WO",""))))</f>
        <v/>
      </c>
    </row>
    <row r="16" customFormat="false" ht="15" hidden="false" customHeight="false" outlineLevel="0" collapsed="false">
      <c r="A16" s="46"/>
      <c r="B16" s="46"/>
      <c r="C16" s="53" t="str">
        <f aca="false">IF(B16="","",IFERROR(INDEX('Kitting Plan'!$D$5:$D$18,MATCH(B16,'Kitting Plan'!$C$5:$C$18,0)),"Unknown code"))</f>
        <v/>
      </c>
      <c r="D16" s="53" t="str">
        <f aca="false">IF(B16="","",IFERROR(INDEX('Kitting Plan'!$B$5:$B$18,MATCH(B16,'Kitting Plan'!$C$5:$C$18,0)),""))</f>
        <v/>
      </c>
      <c r="E16" s="45"/>
      <c r="F16" s="54" t="str">
        <f aca="false">IF(B16="","",IFERROR(IF(OR(E16="",E16="All"),INDEX('Kitting Plan'!$E$5:$E$18,MATCH(B16,'Kitting Plan'!$C$5:$C$18,0)),INDEX('Kitting Plan'!$H$5:$H$18,MATCH(B16,'Kitting Plan'!$C$5:$C$18,0))),""))</f>
        <v/>
      </c>
      <c r="G16" s="45"/>
      <c r="H16" s="55" t="str">
        <f aca="false">IF(B16="","",IF(G16="",F16,G16))</f>
        <v/>
      </c>
      <c r="I16" s="45"/>
      <c r="J16" s="56"/>
      <c r="K16" s="46"/>
      <c r="L16" s="53" t="str">
        <f aca="false">IF(A16="","",IF(B16="","Missing code",IF(C16="Unknown code","Unknown code",IF(COUNTIF($A$6:$A$505,A16)&gt;1,"Duplicate WO",""))))</f>
        <v/>
      </c>
    </row>
    <row r="17" customFormat="false" ht="15" hidden="false" customHeight="false" outlineLevel="0" collapsed="false">
      <c r="A17" s="46"/>
      <c r="B17" s="46"/>
      <c r="C17" s="53" t="str">
        <f aca="false">IF(B17="","",IFERROR(INDEX('Kitting Plan'!$D$5:$D$18,MATCH(B17,'Kitting Plan'!$C$5:$C$18,0)),"Unknown code"))</f>
        <v/>
      </c>
      <c r="D17" s="53" t="str">
        <f aca="false">IF(B17="","",IFERROR(INDEX('Kitting Plan'!$B$5:$B$18,MATCH(B17,'Kitting Plan'!$C$5:$C$18,0)),""))</f>
        <v/>
      </c>
      <c r="E17" s="45"/>
      <c r="F17" s="54" t="str">
        <f aca="false">IF(B17="","",IFERROR(IF(OR(E17="",E17="All"),INDEX('Kitting Plan'!$E$5:$E$18,MATCH(B17,'Kitting Plan'!$C$5:$C$18,0)),INDEX('Kitting Plan'!$H$5:$H$18,MATCH(B17,'Kitting Plan'!$C$5:$C$18,0))),""))</f>
        <v/>
      </c>
      <c r="G17" s="45"/>
      <c r="H17" s="55" t="str">
        <f aca="false">IF(B17="","",IF(G17="",F17,G17))</f>
        <v/>
      </c>
      <c r="I17" s="45"/>
      <c r="J17" s="56"/>
      <c r="K17" s="46"/>
      <c r="L17" s="53" t="str">
        <f aca="false">IF(A17="","",IF(B17="","Missing code",IF(C17="Unknown code","Unknown code",IF(COUNTIF($A$6:$A$505,A17)&gt;1,"Duplicate WO",""))))</f>
        <v/>
      </c>
    </row>
    <row r="18" customFormat="false" ht="15" hidden="false" customHeight="false" outlineLevel="0" collapsed="false">
      <c r="A18" s="46"/>
      <c r="B18" s="46"/>
      <c r="C18" s="53" t="str">
        <f aca="false">IF(B18="","",IFERROR(INDEX('Kitting Plan'!$D$5:$D$18,MATCH(B18,'Kitting Plan'!$C$5:$C$18,0)),"Unknown code"))</f>
        <v/>
      </c>
      <c r="D18" s="53" t="str">
        <f aca="false">IF(B18="","",IFERROR(INDEX('Kitting Plan'!$B$5:$B$18,MATCH(B18,'Kitting Plan'!$C$5:$C$18,0)),""))</f>
        <v/>
      </c>
      <c r="E18" s="45"/>
      <c r="F18" s="54" t="str">
        <f aca="false">IF(B18="","",IFERROR(IF(OR(E18="",E18="All"),INDEX('Kitting Plan'!$E$5:$E$18,MATCH(B18,'Kitting Plan'!$C$5:$C$18,0)),INDEX('Kitting Plan'!$H$5:$H$18,MATCH(B18,'Kitting Plan'!$C$5:$C$18,0))),""))</f>
        <v/>
      </c>
      <c r="G18" s="45"/>
      <c r="H18" s="55" t="str">
        <f aca="false">IF(B18="","",IF(G18="",F18,G18))</f>
        <v/>
      </c>
      <c r="I18" s="45"/>
      <c r="J18" s="56"/>
      <c r="K18" s="46"/>
      <c r="L18" s="53" t="str">
        <f aca="false">IF(A18="","",IF(B18="","Missing code",IF(C18="Unknown code","Unknown code",IF(COUNTIF($A$6:$A$505,A18)&gt;1,"Duplicate WO",""))))</f>
        <v/>
      </c>
    </row>
    <row r="19" customFormat="false" ht="15" hidden="false" customHeight="false" outlineLevel="0" collapsed="false">
      <c r="A19" s="46"/>
      <c r="B19" s="46"/>
      <c r="C19" s="53" t="str">
        <f aca="false">IF(B19="","",IFERROR(INDEX('Kitting Plan'!$D$5:$D$18,MATCH(B19,'Kitting Plan'!$C$5:$C$18,0)),"Unknown code"))</f>
        <v/>
      </c>
      <c r="D19" s="53" t="str">
        <f aca="false">IF(B19="","",IFERROR(INDEX('Kitting Plan'!$B$5:$B$18,MATCH(B19,'Kitting Plan'!$C$5:$C$18,0)),""))</f>
        <v/>
      </c>
      <c r="E19" s="45"/>
      <c r="F19" s="54" t="str">
        <f aca="false">IF(B19="","",IFERROR(IF(OR(E19="",E19="All"),INDEX('Kitting Plan'!$E$5:$E$18,MATCH(B19,'Kitting Plan'!$C$5:$C$18,0)),INDEX('Kitting Plan'!$H$5:$H$18,MATCH(B19,'Kitting Plan'!$C$5:$C$18,0))),""))</f>
        <v/>
      </c>
      <c r="G19" s="45"/>
      <c r="H19" s="55" t="str">
        <f aca="false">IF(B19="","",IF(G19="",F19,G19))</f>
        <v/>
      </c>
      <c r="I19" s="45"/>
      <c r="J19" s="56"/>
      <c r="K19" s="46"/>
      <c r="L19" s="53" t="str">
        <f aca="false">IF(A19="","",IF(B19="","Missing code",IF(C19="Unknown code","Unknown code",IF(COUNTIF($A$6:$A$505,A19)&gt;1,"Duplicate WO",""))))</f>
        <v/>
      </c>
    </row>
    <row r="20" customFormat="false" ht="15" hidden="false" customHeight="false" outlineLevel="0" collapsed="false">
      <c r="A20" s="46"/>
      <c r="B20" s="46"/>
      <c r="C20" s="53" t="str">
        <f aca="false">IF(B20="","",IFERROR(INDEX('Kitting Plan'!$D$5:$D$18,MATCH(B20,'Kitting Plan'!$C$5:$C$18,0)),"Unknown code"))</f>
        <v/>
      </c>
      <c r="D20" s="53" t="str">
        <f aca="false">IF(B20="","",IFERROR(INDEX('Kitting Plan'!$B$5:$B$18,MATCH(B20,'Kitting Plan'!$C$5:$C$18,0)),""))</f>
        <v/>
      </c>
      <c r="E20" s="45"/>
      <c r="F20" s="54" t="str">
        <f aca="false">IF(B20="","",IFERROR(IF(OR(E20="",E20="All"),INDEX('Kitting Plan'!$E$5:$E$18,MATCH(B20,'Kitting Plan'!$C$5:$C$18,0)),INDEX('Kitting Plan'!$H$5:$H$18,MATCH(B20,'Kitting Plan'!$C$5:$C$18,0))),""))</f>
        <v/>
      </c>
      <c r="G20" s="45"/>
      <c r="H20" s="55" t="str">
        <f aca="false">IF(B20="","",IF(G20="",F20,G20))</f>
        <v/>
      </c>
      <c r="I20" s="45"/>
      <c r="J20" s="56"/>
      <c r="K20" s="46"/>
      <c r="L20" s="53" t="str">
        <f aca="false">IF(A20="","",IF(B20="","Missing code",IF(C20="Unknown code","Unknown code",IF(COUNTIF($A$6:$A$505,A20)&gt;1,"Duplicate WO",""))))</f>
        <v/>
      </c>
    </row>
    <row r="21" customFormat="false" ht="15" hidden="false" customHeight="false" outlineLevel="0" collapsed="false">
      <c r="A21" s="46"/>
      <c r="B21" s="46"/>
      <c r="C21" s="53" t="str">
        <f aca="false">IF(B21="","",IFERROR(INDEX('Kitting Plan'!$D$5:$D$18,MATCH(B21,'Kitting Plan'!$C$5:$C$18,0)),"Unknown code"))</f>
        <v/>
      </c>
      <c r="D21" s="53" t="str">
        <f aca="false">IF(B21="","",IFERROR(INDEX('Kitting Plan'!$B$5:$B$18,MATCH(B21,'Kitting Plan'!$C$5:$C$18,0)),""))</f>
        <v/>
      </c>
      <c r="E21" s="45"/>
      <c r="F21" s="54" t="str">
        <f aca="false">IF(B21="","",IFERROR(IF(OR(E21="",E21="All"),INDEX('Kitting Plan'!$E$5:$E$18,MATCH(B21,'Kitting Plan'!$C$5:$C$18,0)),INDEX('Kitting Plan'!$H$5:$H$18,MATCH(B21,'Kitting Plan'!$C$5:$C$18,0))),""))</f>
        <v/>
      </c>
      <c r="G21" s="45"/>
      <c r="H21" s="55" t="str">
        <f aca="false">IF(B21="","",IF(G21="",F21,G21))</f>
        <v/>
      </c>
      <c r="I21" s="45"/>
      <c r="J21" s="56"/>
      <c r="K21" s="46"/>
      <c r="L21" s="53" t="str">
        <f aca="false">IF(A21="","",IF(B21="","Missing code",IF(C21="Unknown code","Unknown code",IF(COUNTIF($A$6:$A$505,A21)&gt;1,"Duplicate WO",""))))</f>
        <v/>
      </c>
    </row>
    <row r="22" customFormat="false" ht="15" hidden="false" customHeight="false" outlineLevel="0" collapsed="false">
      <c r="A22" s="46"/>
      <c r="B22" s="46"/>
      <c r="C22" s="53" t="str">
        <f aca="false">IF(B22="","",IFERROR(INDEX('Kitting Plan'!$D$5:$D$18,MATCH(B22,'Kitting Plan'!$C$5:$C$18,0)),"Unknown code"))</f>
        <v/>
      </c>
      <c r="D22" s="53" t="str">
        <f aca="false">IF(B22="","",IFERROR(INDEX('Kitting Plan'!$B$5:$B$18,MATCH(B22,'Kitting Plan'!$C$5:$C$18,0)),""))</f>
        <v/>
      </c>
      <c r="E22" s="45"/>
      <c r="F22" s="54" t="str">
        <f aca="false">IF(B22="","",IFERROR(IF(OR(E22="",E22="All"),INDEX('Kitting Plan'!$E$5:$E$18,MATCH(B22,'Kitting Plan'!$C$5:$C$18,0)),INDEX('Kitting Plan'!$H$5:$H$18,MATCH(B22,'Kitting Plan'!$C$5:$C$18,0))),""))</f>
        <v/>
      </c>
      <c r="G22" s="45"/>
      <c r="H22" s="55" t="str">
        <f aca="false">IF(B22="","",IF(G22="",F22,G22))</f>
        <v/>
      </c>
      <c r="I22" s="45"/>
      <c r="J22" s="56"/>
      <c r="K22" s="46"/>
      <c r="L22" s="53" t="str">
        <f aca="false">IF(A22="","",IF(B22="","Missing code",IF(C22="Unknown code","Unknown code",IF(COUNTIF($A$6:$A$505,A22)&gt;1,"Duplicate WO",""))))</f>
        <v/>
      </c>
    </row>
    <row r="23" customFormat="false" ht="15" hidden="false" customHeight="false" outlineLevel="0" collapsed="false">
      <c r="A23" s="46"/>
      <c r="B23" s="46"/>
      <c r="C23" s="53" t="str">
        <f aca="false">IF(B23="","",IFERROR(INDEX('Kitting Plan'!$D$5:$D$18,MATCH(B23,'Kitting Plan'!$C$5:$C$18,0)),"Unknown code"))</f>
        <v/>
      </c>
      <c r="D23" s="53" t="str">
        <f aca="false">IF(B23="","",IFERROR(INDEX('Kitting Plan'!$B$5:$B$18,MATCH(B23,'Kitting Plan'!$C$5:$C$18,0)),""))</f>
        <v/>
      </c>
      <c r="E23" s="45"/>
      <c r="F23" s="54" t="str">
        <f aca="false">IF(B23="","",IFERROR(IF(OR(E23="",E23="All"),INDEX('Kitting Plan'!$E$5:$E$18,MATCH(B23,'Kitting Plan'!$C$5:$C$18,0)),INDEX('Kitting Plan'!$H$5:$H$18,MATCH(B23,'Kitting Plan'!$C$5:$C$18,0))),""))</f>
        <v/>
      </c>
      <c r="G23" s="45"/>
      <c r="H23" s="55" t="str">
        <f aca="false">IF(B23="","",IF(G23="",F23,G23))</f>
        <v/>
      </c>
      <c r="I23" s="45"/>
      <c r="J23" s="56"/>
      <c r="K23" s="46"/>
      <c r="L23" s="53" t="str">
        <f aca="false">IF(A23="","",IF(B23="","Missing code",IF(C23="Unknown code","Unknown code",IF(COUNTIF($A$6:$A$505,A23)&gt;1,"Duplicate WO",""))))</f>
        <v/>
      </c>
    </row>
    <row r="24" customFormat="false" ht="15" hidden="false" customHeight="false" outlineLevel="0" collapsed="false">
      <c r="A24" s="46"/>
      <c r="B24" s="46"/>
      <c r="C24" s="53" t="str">
        <f aca="false">IF(B24="","",IFERROR(INDEX('Kitting Plan'!$D$5:$D$18,MATCH(B24,'Kitting Plan'!$C$5:$C$18,0)),"Unknown code"))</f>
        <v/>
      </c>
      <c r="D24" s="53" t="str">
        <f aca="false">IF(B24="","",IFERROR(INDEX('Kitting Plan'!$B$5:$B$18,MATCH(B24,'Kitting Plan'!$C$5:$C$18,0)),""))</f>
        <v/>
      </c>
      <c r="E24" s="45"/>
      <c r="F24" s="54" t="str">
        <f aca="false">IF(B24="","",IFERROR(IF(OR(E24="",E24="All"),INDEX('Kitting Plan'!$E$5:$E$18,MATCH(B24,'Kitting Plan'!$C$5:$C$18,0)),INDEX('Kitting Plan'!$H$5:$H$18,MATCH(B24,'Kitting Plan'!$C$5:$C$18,0))),""))</f>
        <v/>
      </c>
      <c r="G24" s="45"/>
      <c r="H24" s="55" t="str">
        <f aca="false">IF(B24="","",IF(G24="",F24,G24))</f>
        <v/>
      </c>
      <c r="I24" s="45"/>
      <c r="J24" s="56"/>
      <c r="K24" s="46"/>
      <c r="L24" s="53" t="str">
        <f aca="false">IF(A24="","",IF(B24="","Missing code",IF(C24="Unknown code","Unknown code",IF(COUNTIF($A$6:$A$505,A24)&gt;1,"Duplicate WO",""))))</f>
        <v/>
      </c>
    </row>
    <row r="25" customFormat="false" ht="15" hidden="false" customHeight="false" outlineLevel="0" collapsed="false">
      <c r="A25" s="46"/>
      <c r="B25" s="46"/>
      <c r="C25" s="53" t="str">
        <f aca="false">IF(B25="","",IFERROR(INDEX('Kitting Plan'!$D$5:$D$18,MATCH(B25,'Kitting Plan'!$C$5:$C$18,0)),"Unknown code"))</f>
        <v/>
      </c>
      <c r="D25" s="53" t="str">
        <f aca="false">IF(B25="","",IFERROR(INDEX('Kitting Plan'!$B$5:$B$18,MATCH(B25,'Kitting Plan'!$C$5:$C$18,0)),""))</f>
        <v/>
      </c>
      <c r="E25" s="45"/>
      <c r="F25" s="54" t="str">
        <f aca="false">IF(B25="","",IFERROR(IF(OR(E25="",E25="All"),INDEX('Kitting Plan'!$E$5:$E$18,MATCH(B25,'Kitting Plan'!$C$5:$C$18,0)),INDEX('Kitting Plan'!$H$5:$H$18,MATCH(B25,'Kitting Plan'!$C$5:$C$18,0))),""))</f>
        <v/>
      </c>
      <c r="G25" s="45"/>
      <c r="H25" s="55" t="str">
        <f aca="false">IF(B25="","",IF(G25="",F25,G25))</f>
        <v/>
      </c>
      <c r="I25" s="45"/>
      <c r="J25" s="56"/>
      <c r="K25" s="46"/>
      <c r="L25" s="53" t="str">
        <f aca="false">IF(A25="","",IF(B25="","Missing code",IF(C25="Unknown code","Unknown code",IF(COUNTIF($A$6:$A$505,A25)&gt;1,"Duplicate WO",""))))</f>
        <v/>
      </c>
    </row>
    <row r="26" customFormat="false" ht="15" hidden="false" customHeight="false" outlineLevel="0" collapsed="false">
      <c r="A26" s="46"/>
      <c r="B26" s="46"/>
      <c r="C26" s="53" t="str">
        <f aca="false">IF(B26="","",IFERROR(INDEX('Kitting Plan'!$D$5:$D$18,MATCH(B26,'Kitting Plan'!$C$5:$C$18,0)),"Unknown code"))</f>
        <v/>
      </c>
      <c r="D26" s="53" t="str">
        <f aca="false">IF(B26="","",IFERROR(INDEX('Kitting Plan'!$B$5:$B$18,MATCH(B26,'Kitting Plan'!$C$5:$C$18,0)),""))</f>
        <v/>
      </c>
      <c r="E26" s="45"/>
      <c r="F26" s="54" t="str">
        <f aca="false">IF(B26="","",IFERROR(IF(OR(E26="",E26="All"),INDEX('Kitting Plan'!$E$5:$E$18,MATCH(B26,'Kitting Plan'!$C$5:$C$18,0)),INDEX('Kitting Plan'!$H$5:$H$18,MATCH(B26,'Kitting Plan'!$C$5:$C$18,0))),""))</f>
        <v/>
      </c>
      <c r="G26" s="45"/>
      <c r="H26" s="55" t="str">
        <f aca="false">IF(B26="","",IF(G26="",F26,G26))</f>
        <v/>
      </c>
      <c r="I26" s="45"/>
      <c r="J26" s="56"/>
      <c r="K26" s="46"/>
      <c r="L26" s="53" t="str">
        <f aca="false">IF(A26="","",IF(B26="","Missing code",IF(C26="Unknown code","Unknown code",IF(COUNTIF($A$6:$A$505,A26)&gt;1,"Duplicate WO",""))))</f>
        <v/>
      </c>
    </row>
    <row r="27" customFormat="false" ht="15" hidden="false" customHeight="false" outlineLevel="0" collapsed="false">
      <c r="A27" s="46"/>
      <c r="B27" s="46"/>
      <c r="C27" s="53" t="str">
        <f aca="false">IF(B27="","",IFERROR(INDEX('Kitting Plan'!$D$5:$D$18,MATCH(B27,'Kitting Plan'!$C$5:$C$18,0)),"Unknown code"))</f>
        <v/>
      </c>
      <c r="D27" s="53" t="str">
        <f aca="false">IF(B27="","",IFERROR(INDEX('Kitting Plan'!$B$5:$B$18,MATCH(B27,'Kitting Plan'!$C$5:$C$18,0)),""))</f>
        <v/>
      </c>
      <c r="E27" s="45"/>
      <c r="F27" s="54" t="str">
        <f aca="false">IF(B27="","",IFERROR(IF(OR(E27="",E27="All"),INDEX('Kitting Plan'!$E$5:$E$18,MATCH(B27,'Kitting Plan'!$C$5:$C$18,0)),INDEX('Kitting Plan'!$H$5:$H$18,MATCH(B27,'Kitting Plan'!$C$5:$C$18,0))),""))</f>
        <v/>
      </c>
      <c r="G27" s="45"/>
      <c r="H27" s="55" t="str">
        <f aca="false">IF(B27="","",IF(G27="",F27,G27))</f>
        <v/>
      </c>
      <c r="I27" s="45"/>
      <c r="J27" s="56"/>
      <c r="K27" s="46"/>
      <c r="L27" s="53" t="str">
        <f aca="false">IF(A27="","",IF(B27="","Missing code",IF(C27="Unknown code","Unknown code",IF(COUNTIF($A$6:$A$505,A27)&gt;1,"Duplicate WO",""))))</f>
        <v/>
      </c>
    </row>
    <row r="28" customFormat="false" ht="15" hidden="false" customHeight="false" outlineLevel="0" collapsed="false">
      <c r="A28" s="46"/>
      <c r="B28" s="46"/>
      <c r="C28" s="53" t="str">
        <f aca="false">IF(B28="","",IFERROR(INDEX('Kitting Plan'!$D$5:$D$18,MATCH(B28,'Kitting Plan'!$C$5:$C$18,0)),"Unknown code"))</f>
        <v/>
      </c>
      <c r="D28" s="53" t="str">
        <f aca="false">IF(B28="","",IFERROR(INDEX('Kitting Plan'!$B$5:$B$18,MATCH(B28,'Kitting Plan'!$C$5:$C$18,0)),""))</f>
        <v/>
      </c>
      <c r="E28" s="45"/>
      <c r="F28" s="54" t="str">
        <f aca="false">IF(B28="","",IFERROR(IF(OR(E28="",E28="All"),INDEX('Kitting Plan'!$E$5:$E$18,MATCH(B28,'Kitting Plan'!$C$5:$C$18,0)),INDEX('Kitting Plan'!$H$5:$H$18,MATCH(B28,'Kitting Plan'!$C$5:$C$18,0))),""))</f>
        <v/>
      </c>
      <c r="G28" s="45"/>
      <c r="H28" s="55" t="str">
        <f aca="false">IF(B28="","",IF(G28="",F28,G28))</f>
        <v/>
      </c>
      <c r="I28" s="45"/>
      <c r="J28" s="56"/>
      <c r="K28" s="46"/>
      <c r="L28" s="53" t="str">
        <f aca="false">IF(A28="","",IF(B28="","Missing code",IF(C28="Unknown code","Unknown code",IF(COUNTIF($A$6:$A$505,A28)&gt;1,"Duplicate WO",""))))</f>
        <v/>
      </c>
    </row>
    <row r="29" customFormat="false" ht="15" hidden="false" customHeight="false" outlineLevel="0" collapsed="false">
      <c r="A29" s="46"/>
      <c r="B29" s="46"/>
      <c r="C29" s="53" t="str">
        <f aca="false">IF(B29="","",IFERROR(INDEX('Kitting Plan'!$D$5:$D$18,MATCH(B29,'Kitting Plan'!$C$5:$C$18,0)),"Unknown code"))</f>
        <v/>
      </c>
      <c r="D29" s="53" t="str">
        <f aca="false">IF(B29="","",IFERROR(INDEX('Kitting Plan'!$B$5:$B$18,MATCH(B29,'Kitting Plan'!$C$5:$C$18,0)),""))</f>
        <v/>
      </c>
      <c r="E29" s="45"/>
      <c r="F29" s="54" t="str">
        <f aca="false">IF(B29="","",IFERROR(IF(OR(E29="",E29="All"),INDEX('Kitting Plan'!$E$5:$E$18,MATCH(B29,'Kitting Plan'!$C$5:$C$18,0)),INDEX('Kitting Plan'!$H$5:$H$18,MATCH(B29,'Kitting Plan'!$C$5:$C$18,0))),""))</f>
        <v/>
      </c>
      <c r="G29" s="45"/>
      <c r="H29" s="55" t="str">
        <f aca="false">IF(B29="","",IF(G29="",F29,G29))</f>
        <v/>
      </c>
      <c r="I29" s="45"/>
      <c r="J29" s="56"/>
      <c r="K29" s="46"/>
      <c r="L29" s="53" t="str">
        <f aca="false">IF(A29="","",IF(B29="","Missing code",IF(C29="Unknown code","Unknown code",IF(COUNTIF($A$6:$A$505,A29)&gt;1,"Duplicate WO",""))))</f>
        <v/>
      </c>
    </row>
    <row r="30" customFormat="false" ht="15" hidden="false" customHeight="false" outlineLevel="0" collapsed="false">
      <c r="A30" s="46"/>
      <c r="B30" s="46"/>
      <c r="C30" s="53" t="str">
        <f aca="false">IF(B30="","",IFERROR(INDEX('Kitting Plan'!$D$5:$D$18,MATCH(B30,'Kitting Plan'!$C$5:$C$18,0)),"Unknown code"))</f>
        <v/>
      </c>
      <c r="D30" s="53" t="str">
        <f aca="false">IF(B30="","",IFERROR(INDEX('Kitting Plan'!$B$5:$B$18,MATCH(B30,'Kitting Plan'!$C$5:$C$18,0)),""))</f>
        <v/>
      </c>
      <c r="E30" s="45"/>
      <c r="F30" s="54" t="str">
        <f aca="false">IF(B30="","",IFERROR(IF(OR(E30="",E30="All"),INDEX('Kitting Plan'!$E$5:$E$18,MATCH(B30,'Kitting Plan'!$C$5:$C$18,0)),INDEX('Kitting Plan'!$H$5:$H$18,MATCH(B30,'Kitting Plan'!$C$5:$C$18,0))),""))</f>
        <v/>
      </c>
      <c r="G30" s="45"/>
      <c r="H30" s="55" t="str">
        <f aca="false">IF(B30="","",IF(G30="",F30,G30))</f>
        <v/>
      </c>
      <c r="I30" s="45"/>
      <c r="J30" s="56"/>
      <c r="K30" s="46"/>
      <c r="L30" s="53" t="str">
        <f aca="false">IF(A30="","",IF(B30="","Missing code",IF(C30="Unknown code","Unknown code",IF(COUNTIF($A$6:$A$505,A30)&gt;1,"Duplicate WO",""))))</f>
        <v/>
      </c>
    </row>
    <row r="31" customFormat="false" ht="15" hidden="false" customHeight="false" outlineLevel="0" collapsed="false">
      <c r="A31" s="46"/>
      <c r="B31" s="46"/>
      <c r="C31" s="53" t="str">
        <f aca="false">IF(B31="","",IFERROR(INDEX('Kitting Plan'!$D$5:$D$18,MATCH(B31,'Kitting Plan'!$C$5:$C$18,0)),"Unknown code"))</f>
        <v/>
      </c>
      <c r="D31" s="53" t="str">
        <f aca="false">IF(B31="","",IFERROR(INDEX('Kitting Plan'!$B$5:$B$18,MATCH(B31,'Kitting Plan'!$C$5:$C$18,0)),""))</f>
        <v/>
      </c>
      <c r="E31" s="45"/>
      <c r="F31" s="54" t="str">
        <f aca="false">IF(B31="","",IFERROR(IF(OR(E31="",E31="All"),INDEX('Kitting Plan'!$E$5:$E$18,MATCH(B31,'Kitting Plan'!$C$5:$C$18,0)),INDEX('Kitting Plan'!$H$5:$H$18,MATCH(B31,'Kitting Plan'!$C$5:$C$18,0))),""))</f>
        <v/>
      </c>
      <c r="G31" s="45"/>
      <c r="H31" s="55" t="str">
        <f aca="false">IF(B31="","",IF(G31="",F31,G31))</f>
        <v/>
      </c>
      <c r="I31" s="45"/>
      <c r="J31" s="56"/>
      <c r="K31" s="46"/>
      <c r="L31" s="53" t="str">
        <f aca="false">IF(A31="","",IF(B31="","Missing code",IF(C31="Unknown code","Unknown code",IF(COUNTIF($A$6:$A$505,A31)&gt;1,"Duplicate WO",""))))</f>
        <v/>
      </c>
    </row>
    <row r="32" customFormat="false" ht="15" hidden="false" customHeight="false" outlineLevel="0" collapsed="false">
      <c r="A32" s="46"/>
      <c r="B32" s="46"/>
      <c r="C32" s="53" t="str">
        <f aca="false">IF(B32="","",IFERROR(INDEX('Kitting Plan'!$D$5:$D$18,MATCH(B32,'Kitting Plan'!$C$5:$C$18,0)),"Unknown code"))</f>
        <v/>
      </c>
      <c r="D32" s="53" t="str">
        <f aca="false">IF(B32="","",IFERROR(INDEX('Kitting Plan'!$B$5:$B$18,MATCH(B32,'Kitting Plan'!$C$5:$C$18,0)),""))</f>
        <v/>
      </c>
      <c r="E32" s="45"/>
      <c r="F32" s="54" t="str">
        <f aca="false">IF(B32="","",IFERROR(IF(OR(E32="",E32="All"),INDEX('Kitting Plan'!$E$5:$E$18,MATCH(B32,'Kitting Plan'!$C$5:$C$18,0)),INDEX('Kitting Plan'!$H$5:$H$18,MATCH(B32,'Kitting Plan'!$C$5:$C$18,0))),""))</f>
        <v/>
      </c>
      <c r="G32" s="45"/>
      <c r="H32" s="55" t="str">
        <f aca="false">IF(B32="","",IF(G32="",F32,G32))</f>
        <v/>
      </c>
      <c r="I32" s="45"/>
      <c r="J32" s="56"/>
      <c r="K32" s="46"/>
      <c r="L32" s="53" t="str">
        <f aca="false">IF(A32="","",IF(B32="","Missing code",IF(C32="Unknown code","Unknown code",IF(COUNTIF($A$6:$A$505,A32)&gt;1,"Duplicate WO",""))))</f>
        <v/>
      </c>
    </row>
    <row r="33" customFormat="false" ht="15" hidden="false" customHeight="false" outlineLevel="0" collapsed="false">
      <c r="A33" s="46"/>
      <c r="B33" s="46"/>
      <c r="C33" s="53" t="str">
        <f aca="false">IF(B33="","",IFERROR(INDEX('Kitting Plan'!$D$5:$D$18,MATCH(B33,'Kitting Plan'!$C$5:$C$18,0)),"Unknown code"))</f>
        <v/>
      </c>
      <c r="D33" s="53" t="str">
        <f aca="false">IF(B33="","",IFERROR(INDEX('Kitting Plan'!$B$5:$B$18,MATCH(B33,'Kitting Plan'!$C$5:$C$18,0)),""))</f>
        <v/>
      </c>
      <c r="E33" s="45"/>
      <c r="F33" s="54" t="str">
        <f aca="false">IF(B33="","",IFERROR(IF(OR(E33="",E33="All"),INDEX('Kitting Plan'!$E$5:$E$18,MATCH(B33,'Kitting Plan'!$C$5:$C$18,0)),INDEX('Kitting Plan'!$H$5:$H$18,MATCH(B33,'Kitting Plan'!$C$5:$C$18,0))),""))</f>
        <v/>
      </c>
      <c r="G33" s="45"/>
      <c r="H33" s="55" t="str">
        <f aca="false">IF(B33="","",IF(G33="",F33,G33))</f>
        <v/>
      </c>
      <c r="I33" s="45"/>
      <c r="J33" s="56"/>
      <c r="K33" s="46"/>
      <c r="L33" s="53" t="str">
        <f aca="false">IF(A33="","",IF(B33="","Missing code",IF(C33="Unknown code","Unknown code",IF(COUNTIF($A$6:$A$505,A33)&gt;1,"Duplicate WO",""))))</f>
        <v/>
      </c>
    </row>
    <row r="34" customFormat="false" ht="15" hidden="false" customHeight="false" outlineLevel="0" collapsed="false">
      <c r="A34" s="46"/>
      <c r="B34" s="46"/>
      <c r="C34" s="53" t="str">
        <f aca="false">IF(B34="","",IFERROR(INDEX('Kitting Plan'!$D$5:$D$18,MATCH(B34,'Kitting Plan'!$C$5:$C$18,0)),"Unknown code"))</f>
        <v/>
      </c>
      <c r="D34" s="53" t="str">
        <f aca="false">IF(B34="","",IFERROR(INDEX('Kitting Plan'!$B$5:$B$18,MATCH(B34,'Kitting Plan'!$C$5:$C$18,0)),""))</f>
        <v/>
      </c>
      <c r="E34" s="45"/>
      <c r="F34" s="54" t="str">
        <f aca="false">IF(B34="","",IFERROR(IF(OR(E34="",E34="All"),INDEX('Kitting Plan'!$E$5:$E$18,MATCH(B34,'Kitting Plan'!$C$5:$C$18,0)),INDEX('Kitting Plan'!$H$5:$H$18,MATCH(B34,'Kitting Plan'!$C$5:$C$18,0))),""))</f>
        <v/>
      </c>
      <c r="G34" s="45"/>
      <c r="H34" s="55" t="str">
        <f aca="false">IF(B34="","",IF(G34="",F34,G34))</f>
        <v/>
      </c>
      <c r="I34" s="45"/>
      <c r="J34" s="56"/>
      <c r="K34" s="46"/>
      <c r="L34" s="53" t="str">
        <f aca="false">IF(A34="","",IF(B34="","Missing code",IF(C34="Unknown code","Unknown code",IF(COUNTIF($A$6:$A$505,A34)&gt;1,"Duplicate WO",""))))</f>
        <v/>
      </c>
    </row>
    <row r="35" customFormat="false" ht="15" hidden="false" customHeight="false" outlineLevel="0" collapsed="false">
      <c r="A35" s="46"/>
      <c r="B35" s="46"/>
      <c r="C35" s="53" t="str">
        <f aca="false">IF(B35="","",IFERROR(INDEX('Kitting Plan'!$D$5:$D$18,MATCH(B35,'Kitting Plan'!$C$5:$C$18,0)),"Unknown code"))</f>
        <v/>
      </c>
      <c r="D35" s="53" t="str">
        <f aca="false">IF(B35="","",IFERROR(INDEX('Kitting Plan'!$B$5:$B$18,MATCH(B35,'Kitting Plan'!$C$5:$C$18,0)),""))</f>
        <v/>
      </c>
      <c r="E35" s="45"/>
      <c r="F35" s="54" t="str">
        <f aca="false">IF(B35="","",IFERROR(IF(OR(E35="",E35="All"),INDEX('Kitting Plan'!$E$5:$E$18,MATCH(B35,'Kitting Plan'!$C$5:$C$18,0)),INDEX('Kitting Plan'!$H$5:$H$18,MATCH(B35,'Kitting Plan'!$C$5:$C$18,0))),""))</f>
        <v/>
      </c>
      <c r="G35" s="45"/>
      <c r="H35" s="55" t="str">
        <f aca="false">IF(B35="","",IF(G35="",F35,G35))</f>
        <v/>
      </c>
      <c r="I35" s="45"/>
      <c r="J35" s="56"/>
      <c r="K35" s="46"/>
      <c r="L35" s="53" t="str">
        <f aca="false">IF(A35="","",IF(B35="","Missing code",IF(C35="Unknown code","Unknown code",IF(COUNTIF($A$6:$A$505,A35)&gt;1,"Duplicate WO",""))))</f>
        <v/>
      </c>
    </row>
    <row r="36" customFormat="false" ht="15" hidden="false" customHeight="false" outlineLevel="0" collapsed="false">
      <c r="A36" s="46"/>
      <c r="B36" s="46"/>
      <c r="C36" s="53" t="str">
        <f aca="false">IF(B36="","",IFERROR(INDEX('Kitting Plan'!$D$5:$D$18,MATCH(B36,'Kitting Plan'!$C$5:$C$18,0)),"Unknown code"))</f>
        <v/>
      </c>
      <c r="D36" s="53" t="str">
        <f aca="false">IF(B36="","",IFERROR(INDEX('Kitting Plan'!$B$5:$B$18,MATCH(B36,'Kitting Plan'!$C$5:$C$18,0)),""))</f>
        <v/>
      </c>
      <c r="E36" s="45"/>
      <c r="F36" s="54" t="str">
        <f aca="false">IF(B36="","",IFERROR(IF(OR(E36="",E36="All"),INDEX('Kitting Plan'!$E$5:$E$18,MATCH(B36,'Kitting Plan'!$C$5:$C$18,0)),INDEX('Kitting Plan'!$H$5:$H$18,MATCH(B36,'Kitting Plan'!$C$5:$C$18,0))),""))</f>
        <v/>
      </c>
      <c r="G36" s="45"/>
      <c r="H36" s="55" t="str">
        <f aca="false">IF(B36="","",IF(G36="",F36,G36))</f>
        <v/>
      </c>
      <c r="I36" s="45"/>
      <c r="J36" s="56"/>
      <c r="K36" s="46"/>
      <c r="L36" s="53" t="str">
        <f aca="false">IF(A36="","",IF(B36="","Missing code",IF(C36="Unknown code","Unknown code",IF(COUNTIF($A$6:$A$505,A36)&gt;1,"Duplicate WO",""))))</f>
        <v/>
      </c>
    </row>
    <row r="37" customFormat="false" ht="15" hidden="false" customHeight="false" outlineLevel="0" collapsed="false">
      <c r="A37" s="46"/>
      <c r="B37" s="46"/>
      <c r="C37" s="53" t="str">
        <f aca="false">IF(B37="","",IFERROR(INDEX('Kitting Plan'!$D$5:$D$18,MATCH(B37,'Kitting Plan'!$C$5:$C$18,0)),"Unknown code"))</f>
        <v/>
      </c>
      <c r="D37" s="53" t="str">
        <f aca="false">IF(B37="","",IFERROR(INDEX('Kitting Plan'!$B$5:$B$18,MATCH(B37,'Kitting Plan'!$C$5:$C$18,0)),""))</f>
        <v/>
      </c>
      <c r="E37" s="45"/>
      <c r="F37" s="54" t="str">
        <f aca="false">IF(B37="","",IFERROR(IF(OR(E37="",E37="All"),INDEX('Kitting Plan'!$E$5:$E$18,MATCH(B37,'Kitting Plan'!$C$5:$C$18,0)),INDEX('Kitting Plan'!$H$5:$H$18,MATCH(B37,'Kitting Plan'!$C$5:$C$18,0))),""))</f>
        <v/>
      </c>
      <c r="G37" s="45"/>
      <c r="H37" s="55" t="str">
        <f aca="false">IF(B37="","",IF(G37="",F37,G37))</f>
        <v/>
      </c>
      <c r="I37" s="45"/>
      <c r="J37" s="56"/>
      <c r="K37" s="46"/>
      <c r="L37" s="53" t="str">
        <f aca="false">IF(A37="","",IF(B37="","Missing code",IF(C37="Unknown code","Unknown code",IF(COUNTIF($A$6:$A$505,A37)&gt;1,"Duplicate WO",""))))</f>
        <v/>
      </c>
    </row>
    <row r="38" customFormat="false" ht="15" hidden="false" customHeight="false" outlineLevel="0" collapsed="false">
      <c r="A38" s="46"/>
      <c r="B38" s="46"/>
      <c r="C38" s="53" t="str">
        <f aca="false">IF(B38="","",IFERROR(INDEX('Kitting Plan'!$D$5:$D$18,MATCH(B38,'Kitting Plan'!$C$5:$C$18,0)),"Unknown code"))</f>
        <v/>
      </c>
      <c r="D38" s="53" t="str">
        <f aca="false">IF(B38="","",IFERROR(INDEX('Kitting Plan'!$B$5:$B$18,MATCH(B38,'Kitting Plan'!$C$5:$C$18,0)),""))</f>
        <v/>
      </c>
      <c r="E38" s="45"/>
      <c r="F38" s="54" t="str">
        <f aca="false">IF(B38="","",IFERROR(IF(OR(E38="",E38="All"),INDEX('Kitting Plan'!$E$5:$E$18,MATCH(B38,'Kitting Plan'!$C$5:$C$18,0)),INDEX('Kitting Plan'!$H$5:$H$18,MATCH(B38,'Kitting Plan'!$C$5:$C$18,0))),""))</f>
        <v/>
      </c>
      <c r="G38" s="45"/>
      <c r="H38" s="55" t="str">
        <f aca="false">IF(B38="","",IF(G38="",F38,G38))</f>
        <v/>
      </c>
      <c r="I38" s="45"/>
      <c r="J38" s="56"/>
      <c r="K38" s="46"/>
      <c r="L38" s="53" t="str">
        <f aca="false">IF(A38="","",IF(B38="","Missing code",IF(C38="Unknown code","Unknown code",IF(COUNTIF($A$6:$A$505,A38)&gt;1,"Duplicate WO",""))))</f>
        <v/>
      </c>
    </row>
    <row r="39" customFormat="false" ht="15" hidden="false" customHeight="false" outlineLevel="0" collapsed="false">
      <c r="A39" s="46"/>
      <c r="B39" s="46"/>
      <c r="C39" s="53" t="str">
        <f aca="false">IF(B39="","",IFERROR(INDEX('Kitting Plan'!$D$5:$D$18,MATCH(B39,'Kitting Plan'!$C$5:$C$18,0)),"Unknown code"))</f>
        <v/>
      </c>
      <c r="D39" s="53" t="str">
        <f aca="false">IF(B39="","",IFERROR(INDEX('Kitting Plan'!$B$5:$B$18,MATCH(B39,'Kitting Plan'!$C$5:$C$18,0)),""))</f>
        <v/>
      </c>
      <c r="E39" s="45"/>
      <c r="F39" s="54" t="str">
        <f aca="false">IF(B39="","",IFERROR(IF(OR(E39="",E39="All"),INDEX('Kitting Plan'!$E$5:$E$18,MATCH(B39,'Kitting Plan'!$C$5:$C$18,0)),INDEX('Kitting Plan'!$H$5:$H$18,MATCH(B39,'Kitting Plan'!$C$5:$C$18,0))),""))</f>
        <v/>
      </c>
      <c r="G39" s="45"/>
      <c r="H39" s="55" t="str">
        <f aca="false">IF(B39="","",IF(G39="",F39,G39))</f>
        <v/>
      </c>
      <c r="I39" s="45"/>
      <c r="J39" s="56"/>
      <c r="K39" s="46"/>
      <c r="L39" s="53" t="str">
        <f aca="false">IF(A39="","",IF(B39="","Missing code",IF(C39="Unknown code","Unknown code",IF(COUNTIF($A$6:$A$505,A39)&gt;1,"Duplicate WO",""))))</f>
        <v/>
      </c>
    </row>
    <row r="40" customFormat="false" ht="15" hidden="false" customHeight="false" outlineLevel="0" collapsed="false">
      <c r="A40" s="46"/>
      <c r="B40" s="46"/>
      <c r="C40" s="53" t="str">
        <f aca="false">IF(B40="","",IFERROR(INDEX('Kitting Plan'!$D$5:$D$18,MATCH(B40,'Kitting Plan'!$C$5:$C$18,0)),"Unknown code"))</f>
        <v/>
      </c>
      <c r="D40" s="53" t="str">
        <f aca="false">IF(B40="","",IFERROR(INDEX('Kitting Plan'!$B$5:$B$18,MATCH(B40,'Kitting Plan'!$C$5:$C$18,0)),""))</f>
        <v/>
      </c>
      <c r="E40" s="45"/>
      <c r="F40" s="54" t="str">
        <f aca="false">IF(B40="","",IFERROR(IF(OR(E40="",E40="All"),INDEX('Kitting Plan'!$E$5:$E$18,MATCH(B40,'Kitting Plan'!$C$5:$C$18,0)),INDEX('Kitting Plan'!$H$5:$H$18,MATCH(B40,'Kitting Plan'!$C$5:$C$18,0))),""))</f>
        <v/>
      </c>
      <c r="G40" s="45"/>
      <c r="H40" s="55" t="str">
        <f aca="false">IF(B40="","",IF(G40="",F40,G40))</f>
        <v/>
      </c>
      <c r="I40" s="45"/>
      <c r="J40" s="56"/>
      <c r="K40" s="46"/>
      <c r="L40" s="53" t="str">
        <f aca="false">IF(A40="","",IF(B40="","Missing code",IF(C40="Unknown code","Unknown code",IF(COUNTIF($A$6:$A$505,A40)&gt;1,"Duplicate WO",""))))</f>
        <v/>
      </c>
    </row>
    <row r="41" customFormat="false" ht="15" hidden="false" customHeight="false" outlineLevel="0" collapsed="false">
      <c r="A41" s="46"/>
      <c r="B41" s="46"/>
      <c r="C41" s="53" t="str">
        <f aca="false">IF(B41="","",IFERROR(INDEX('Kitting Plan'!$D$5:$D$18,MATCH(B41,'Kitting Plan'!$C$5:$C$18,0)),"Unknown code"))</f>
        <v/>
      </c>
      <c r="D41" s="53" t="str">
        <f aca="false">IF(B41="","",IFERROR(INDEX('Kitting Plan'!$B$5:$B$18,MATCH(B41,'Kitting Plan'!$C$5:$C$18,0)),""))</f>
        <v/>
      </c>
      <c r="E41" s="45"/>
      <c r="F41" s="54" t="str">
        <f aca="false">IF(B41="","",IFERROR(IF(OR(E41="",E41="All"),INDEX('Kitting Plan'!$E$5:$E$18,MATCH(B41,'Kitting Plan'!$C$5:$C$18,0)),INDEX('Kitting Plan'!$H$5:$H$18,MATCH(B41,'Kitting Plan'!$C$5:$C$18,0))),""))</f>
        <v/>
      </c>
      <c r="G41" s="45"/>
      <c r="H41" s="55" t="str">
        <f aca="false">IF(B41="","",IF(G41="",F41,G41))</f>
        <v/>
      </c>
      <c r="I41" s="45"/>
      <c r="J41" s="56"/>
      <c r="K41" s="46"/>
      <c r="L41" s="53" t="str">
        <f aca="false">IF(A41="","",IF(B41="","Missing code",IF(C41="Unknown code","Unknown code",IF(COUNTIF($A$6:$A$505,A41)&gt;1,"Duplicate WO",""))))</f>
        <v/>
      </c>
    </row>
    <row r="42" customFormat="false" ht="15" hidden="false" customHeight="false" outlineLevel="0" collapsed="false">
      <c r="A42" s="46"/>
      <c r="B42" s="46"/>
      <c r="C42" s="53" t="str">
        <f aca="false">IF(B42="","",IFERROR(INDEX('Kitting Plan'!$D$5:$D$18,MATCH(B42,'Kitting Plan'!$C$5:$C$18,0)),"Unknown code"))</f>
        <v/>
      </c>
      <c r="D42" s="53" t="str">
        <f aca="false">IF(B42="","",IFERROR(INDEX('Kitting Plan'!$B$5:$B$18,MATCH(B42,'Kitting Plan'!$C$5:$C$18,0)),""))</f>
        <v/>
      </c>
      <c r="E42" s="45"/>
      <c r="F42" s="54" t="str">
        <f aca="false">IF(B42="","",IFERROR(IF(OR(E42="",E42="All"),INDEX('Kitting Plan'!$E$5:$E$18,MATCH(B42,'Kitting Plan'!$C$5:$C$18,0)),INDEX('Kitting Plan'!$H$5:$H$18,MATCH(B42,'Kitting Plan'!$C$5:$C$18,0))),""))</f>
        <v/>
      </c>
      <c r="G42" s="45"/>
      <c r="H42" s="55" t="str">
        <f aca="false">IF(B42="","",IF(G42="",F42,G42))</f>
        <v/>
      </c>
      <c r="I42" s="45"/>
      <c r="J42" s="56"/>
      <c r="K42" s="46"/>
      <c r="L42" s="53" t="str">
        <f aca="false">IF(A42="","",IF(B42="","Missing code",IF(C42="Unknown code","Unknown code",IF(COUNTIF($A$6:$A$505,A42)&gt;1,"Duplicate WO",""))))</f>
        <v/>
      </c>
    </row>
    <row r="43" customFormat="false" ht="15" hidden="false" customHeight="false" outlineLevel="0" collapsed="false">
      <c r="A43" s="46"/>
      <c r="B43" s="46"/>
      <c r="C43" s="53" t="str">
        <f aca="false">IF(B43="","",IFERROR(INDEX('Kitting Plan'!$D$5:$D$18,MATCH(B43,'Kitting Plan'!$C$5:$C$18,0)),"Unknown code"))</f>
        <v/>
      </c>
      <c r="D43" s="53" t="str">
        <f aca="false">IF(B43="","",IFERROR(INDEX('Kitting Plan'!$B$5:$B$18,MATCH(B43,'Kitting Plan'!$C$5:$C$18,0)),""))</f>
        <v/>
      </c>
      <c r="E43" s="45"/>
      <c r="F43" s="54" t="str">
        <f aca="false">IF(B43="","",IFERROR(IF(OR(E43="",E43="All"),INDEX('Kitting Plan'!$E$5:$E$18,MATCH(B43,'Kitting Plan'!$C$5:$C$18,0)),INDEX('Kitting Plan'!$H$5:$H$18,MATCH(B43,'Kitting Plan'!$C$5:$C$18,0))),""))</f>
        <v/>
      </c>
      <c r="G43" s="45"/>
      <c r="H43" s="55" t="str">
        <f aca="false">IF(B43="","",IF(G43="",F43,G43))</f>
        <v/>
      </c>
      <c r="I43" s="45"/>
      <c r="J43" s="56"/>
      <c r="K43" s="46"/>
      <c r="L43" s="53" t="str">
        <f aca="false">IF(A43="","",IF(B43="","Missing code",IF(C43="Unknown code","Unknown code",IF(COUNTIF($A$6:$A$505,A43)&gt;1,"Duplicate WO",""))))</f>
        <v/>
      </c>
    </row>
    <row r="44" customFormat="false" ht="15" hidden="false" customHeight="false" outlineLevel="0" collapsed="false">
      <c r="A44" s="46"/>
      <c r="B44" s="46"/>
      <c r="C44" s="53" t="str">
        <f aca="false">IF(B44="","",IFERROR(INDEX('Kitting Plan'!$D$5:$D$18,MATCH(B44,'Kitting Plan'!$C$5:$C$18,0)),"Unknown code"))</f>
        <v/>
      </c>
      <c r="D44" s="53" t="str">
        <f aca="false">IF(B44="","",IFERROR(INDEX('Kitting Plan'!$B$5:$B$18,MATCH(B44,'Kitting Plan'!$C$5:$C$18,0)),""))</f>
        <v/>
      </c>
      <c r="E44" s="45"/>
      <c r="F44" s="54" t="str">
        <f aca="false">IF(B44="","",IFERROR(IF(OR(E44="",E44="All"),INDEX('Kitting Plan'!$E$5:$E$18,MATCH(B44,'Kitting Plan'!$C$5:$C$18,0)),INDEX('Kitting Plan'!$H$5:$H$18,MATCH(B44,'Kitting Plan'!$C$5:$C$18,0))),""))</f>
        <v/>
      </c>
      <c r="G44" s="45"/>
      <c r="H44" s="55" t="str">
        <f aca="false">IF(B44="","",IF(G44="",F44,G44))</f>
        <v/>
      </c>
      <c r="I44" s="45"/>
      <c r="J44" s="56"/>
      <c r="K44" s="46"/>
      <c r="L44" s="53" t="str">
        <f aca="false">IF(A44="","",IF(B44="","Missing code",IF(C44="Unknown code","Unknown code",IF(COUNTIF($A$6:$A$505,A44)&gt;1,"Duplicate WO",""))))</f>
        <v/>
      </c>
    </row>
    <row r="45" customFormat="false" ht="15" hidden="false" customHeight="false" outlineLevel="0" collapsed="false">
      <c r="A45" s="46"/>
      <c r="B45" s="46"/>
      <c r="C45" s="53" t="str">
        <f aca="false">IF(B45="","",IFERROR(INDEX('Kitting Plan'!$D$5:$D$18,MATCH(B45,'Kitting Plan'!$C$5:$C$18,0)),"Unknown code"))</f>
        <v/>
      </c>
      <c r="D45" s="53" t="str">
        <f aca="false">IF(B45="","",IFERROR(INDEX('Kitting Plan'!$B$5:$B$18,MATCH(B45,'Kitting Plan'!$C$5:$C$18,0)),""))</f>
        <v/>
      </c>
      <c r="E45" s="45"/>
      <c r="F45" s="54" t="str">
        <f aca="false">IF(B45="","",IFERROR(IF(OR(E45="",E45="All"),INDEX('Kitting Plan'!$E$5:$E$18,MATCH(B45,'Kitting Plan'!$C$5:$C$18,0)),INDEX('Kitting Plan'!$H$5:$H$18,MATCH(B45,'Kitting Plan'!$C$5:$C$18,0))),""))</f>
        <v/>
      </c>
      <c r="G45" s="45"/>
      <c r="H45" s="55" t="str">
        <f aca="false">IF(B45="","",IF(G45="",F45,G45))</f>
        <v/>
      </c>
      <c r="I45" s="45"/>
      <c r="J45" s="56"/>
      <c r="K45" s="46"/>
      <c r="L45" s="53" t="str">
        <f aca="false">IF(A45="","",IF(B45="","Missing code",IF(C45="Unknown code","Unknown code",IF(COUNTIF($A$6:$A$505,A45)&gt;1,"Duplicate WO",""))))</f>
        <v/>
      </c>
    </row>
    <row r="46" customFormat="false" ht="15" hidden="false" customHeight="false" outlineLevel="0" collapsed="false">
      <c r="A46" s="46"/>
      <c r="B46" s="46"/>
      <c r="C46" s="53" t="str">
        <f aca="false">IF(B46="","",IFERROR(INDEX('Kitting Plan'!$D$5:$D$18,MATCH(B46,'Kitting Plan'!$C$5:$C$18,0)),"Unknown code"))</f>
        <v/>
      </c>
      <c r="D46" s="53" t="str">
        <f aca="false">IF(B46="","",IFERROR(INDEX('Kitting Plan'!$B$5:$B$18,MATCH(B46,'Kitting Plan'!$C$5:$C$18,0)),""))</f>
        <v/>
      </c>
      <c r="E46" s="45"/>
      <c r="F46" s="54" t="str">
        <f aca="false">IF(B46="","",IFERROR(IF(OR(E46="",E46="All"),INDEX('Kitting Plan'!$E$5:$E$18,MATCH(B46,'Kitting Plan'!$C$5:$C$18,0)),INDEX('Kitting Plan'!$H$5:$H$18,MATCH(B46,'Kitting Plan'!$C$5:$C$18,0))),""))</f>
        <v/>
      </c>
      <c r="G46" s="45"/>
      <c r="H46" s="55" t="str">
        <f aca="false">IF(B46="","",IF(G46="",F46,G46))</f>
        <v/>
      </c>
      <c r="I46" s="45"/>
      <c r="J46" s="56"/>
      <c r="K46" s="46"/>
      <c r="L46" s="53" t="str">
        <f aca="false">IF(A46="","",IF(B46="","Missing code",IF(C46="Unknown code","Unknown code",IF(COUNTIF($A$6:$A$505,A46)&gt;1,"Duplicate WO",""))))</f>
        <v/>
      </c>
    </row>
    <row r="47" customFormat="false" ht="15" hidden="false" customHeight="false" outlineLevel="0" collapsed="false">
      <c r="A47" s="46"/>
      <c r="B47" s="46"/>
      <c r="C47" s="53" t="str">
        <f aca="false">IF(B47="","",IFERROR(INDEX('Kitting Plan'!$D$5:$D$18,MATCH(B47,'Kitting Plan'!$C$5:$C$18,0)),"Unknown code"))</f>
        <v/>
      </c>
      <c r="D47" s="53" t="str">
        <f aca="false">IF(B47="","",IFERROR(INDEX('Kitting Plan'!$B$5:$B$18,MATCH(B47,'Kitting Plan'!$C$5:$C$18,0)),""))</f>
        <v/>
      </c>
      <c r="E47" s="45"/>
      <c r="F47" s="54" t="str">
        <f aca="false">IF(B47="","",IFERROR(IF(OR(E47="",E47="All"),INDEX('Kitting Plan'!$E$5:$E$18,MATCH(B47,'Kitting Plan'!$C$5:$C$18,0)),INDEX('Kitting Plan'!$H$5:$H$18,MATCH(B47,'Kitting Plan'!$C$5:$C$18,0))),""))</f>
        <v/>
      </c>
      <c r="G47" s="45"/>
      <c r="H47" s="55" t="str">
        <f aca="false">IF(B47="","",IF(G47="",F47,G47))</f>
        <v/>
      </c>
      <c r="I47" s="45"/>
      <c r="J47" s="56"/>
      <c r="K47" s="46"/>
      <c r="L47" s="53" t="str">
        <f aca="false">IF(A47="","",IF(B47="","Missing code",IF(C47="Unknown code","Unknown code",IF(COUNTIF($A$6:$A$505,A47)&gt;1,"Duplicate WO",""))))</f>
        <v/>
      </c>
    </row>
    <row r="48" customFormat="false" ht="15" hidden="false" customHeight="false" outlineLevel="0" collapsed="false">
      <c r="A48" s="46"/>
      <c r="B48" s="46"/>
      <c r="C48" s="53" t="str">
        <f aca="false">IF(B48="","",IFERROR(INDEX('Kitting Plan'!$D$5:$D$18,MATCH(B48,'Kitting Plan'!$C$5:$C$18,0)),"Unknown code"))</f>
        <v/>
      </c>
      <c r="D48" s="53" t="str">
        <f aca="false">IF(B48="","",IFERROR(INDEX('Kitting Plan'!$B$5:$B$18,MATCH(B48,'Kitting Plan'!$C$5:$C$18,0)),""))</f>
        <v/>
      </c>
      <c r="E48" s="45"/>
      <c r="F48" s="54" t="str">
        <f aca="false">IF(B48="","",IFERROR(IF(OR(E48="",E48="All"),INDEX('Kitting Plan'!$E$5:$E$18,MATCH(B48,'Kitting Plan'!$C$5:$C$18,0)),INDEX('Kitting Plan'!$H$5:$H$18,MATCH(B48,'Kitting Plan'!$C$5:$C$18,0))),""))</f>
        <v/>
      </c>
      <c r="G48" s="45"/>
      <c r="H48" s="55" t="str">
        <f aca="false">IF(B48="","",IF(G48="",F48,G48))</f>
        <v/>
      </c>
      <c r="I48" s="45"/>
      <c r="J48" s="56"/>
      <c r="K48" s="46"/>
      <c r="L48" s="53" t="str">
        <f aca="false">IF(A48="","",IF(B48="","Missing code",IF(C48="Unknown code","Unknown code",IF(COUNTIF($A$6:$A$505,A48)&gt;1,"Duplicate WO",""))))</f>
        <v/>
      </c>
    </row>
    <row r="49" customFormat="false" ht="15" hidden="false" customHeight="false" outlineLevel="0" collapsed="false">
      <c r="A49" s="46"/>
      <c r="B49" s="46"/>
      <c r="C49" s="53" t="str">
        <f aca="false">IF(B49="","",IFERROR(INDEX('Kitting Plan'!$D$5:$D$18,MATCH(B49,'Kitting Plan'!$C$5:$C$18,0)),"Unknown code"))</f>
        <v/>
      </c>
      <c r="D49" s="53" t="str">
        <f aca="false">IF(B49="","",IFERROR(INDEX('Kitting Plan'!$B$5:$B$18,MATCH(B49,'Kitting Plan'!$C$5:$C$18,0)),""))</f>
        <v/>
      </c>
      <c r="E49" s="45"/>
      <c r="F49" s="54" t="str">
        <f aca="false">IF(B49="","",IFERROR(IF(OR(E49="",E49="All"),INDEX('Kitting Plan'!$E$5:$E$18,MATCH(B49,'Kitting Plan'!$C$5:$C$18,0)),INDEX('Kitting Plan'!$H$5:$H$18,MATCH(B49,'Kitting Plan'!$C$5:$C$18,0))),""))</f>
        <v/>
      </c>
      <c r="G49" s="45"/>
      <c r="H49" s="55" t="str">
        <f aca="false">IF(B49="","",IF(G49="",F49,G49))</f>
        <v/>
      </c>
      <c r="I49" s="45"/>
      <c r="J49" s="56"/>
      <c r="K49" s="46"/>
      <c r="L49" s="53" t="str">
        <f aca="false">IF(A49="","",IF(B49="","Missing code",IF(C49="Unknown code","Unknown code",IF(COUNTIF($A$6:$A$505,A49)&gt;1,"Duplicate WO",""))))</f>
        <v/>
      </c>
    </row>
    <row r="50" customFormat="false" ht="15" hidden="false" customHeight="false" outlineLevel="0" collapsed="false">
      <c r="A50" s="46"/>
      <c r="B50" s="46"/>
      <c r="C50" s="53" t="str">
        <f aca="false">IF(B50="","",IFERROR(INDEX('Kitting Plan'!$D$5:$D$18,MATCH(B50,'Kitting Plan'!$C$5:$C$18,0)),"Unknown code"))</f>
        <v/>
      </c>
      <c r="D50" s="53" t="str">
        <f aca="false">IF(B50="","",IFERROR(INDEX('Kitting Plan'!$B$5:$B$18,MATCH(B50,'Kitting Plan'!$C$5:$C$18,0)),""))</f>
        <v/>
      </c>
      <c r="E50" s="45"/>
      <c r="F50" s="54" t="str">
        <f aca="false">IF(B50="","",IFERROR(IF(OR(E50="",E50="All"),INDEX('Kitting Plan'!$E$5:$E$18,MATCH(B50,'Kitting Plan'!$C$5:$C$18,0)),INDEX('Kitting Plan'!$H$5:$H$18,MATCH(B50,'Kitting Plan'!$C$5:$C$18,0))),""))</f>
        <v/>
      </c>
      <c r="G50" s="45"/>
      <c r="H50" s="55" t="str">
        <f aca="false">IF(B50="","",IF(G50="",F50,G50))</f>
        <v/>
      </c>
      <c r="I50" s="45"/>
      <c r="J50" s="56"/>
      <c r="K50" s="46"/>
      <c r="L50" s="53" t="str">
        <f aca="false">IF(A50="","",IF(B50="","Missing code",IF(C50="Unknown code","Unknown code",IF(COUNTIF($A$6:$A$505,A50)&gt;1,"Duplicate WO",""))))</f>
        <v/>
      </c>
    </row>
    <row r="51" customFormat="false" ht="15" hidden="false" customHeight="false" outlineLevel="0" collapsed="false">
      <c r="A51" s="46"/>
      <c r="B51" s="46"/>
      <c r="C51" s="53" t="str">
        <f aca="false">IF(B51="","",IFERROR(INDEX('Kitting Plan'!$D$5:$D$18,MATCH(B51,'Kitting Plan'!$C$5:$C$18,0)),"Unknown code"))</f>
        <v/>
      </c>
      <c r="D51" s="53" t="str">
        <f aca="false">IF(B51="","",IFERROR(INDEX('Kitting Plan'!$B$5:$B$18,MATCH(B51,'Kitting Plan'!$C$5:$C$18,0)),""))</f>
        <v/>
      </c>
      <c r="E51" s="45"/>
      <c r="F51" s="54" t="str">
        <f aca="false">IF(B51="","",IFERROR(IF(OR(E51="",E51="All"),INDEX('Kitting Plan'!$E$5:$E$18,MATCH(B51,'Kitting Plan'!$C$5:$C$18,0)),INDEX('Kitting Plan'!$H$5:$H$18,MATCH(B51,'Kitting Plan'!$C$5:$C$18,0))),""))</f>
        <v/>
      </c>
      <c r="G51" s="45"/>
      <c r="H51" s="55" t="str">
        <f aca="false">IF(B51="","",IF(G51="",F51,G51))</f>
        <v/>
      </c>
      <c r="I51" s="45"/>
      <c r="J51" s="56"/>
      <c r="K51" s="46"/>
      <c r="L51" s="53" t="str">
        <f aca="false">IF(A51="","",IF(B51="","Missing code",IF(C51="Unknown code","Unknown code",IF(COUNTIF($A$6:$A$505,A51)&gt;1,"Duplicate WO",""))))</f>
        <v/>
      </c>
    </row>
    <row r="52" customFormat="false" ht="15" hidden="false" customHeight="false" outlineLevel="0" collapsed="false">
      <c r="A52" s="46"/>
      <c r="B52" s="46"/>
      <c r="C52" s="53" t="str">
        <f aca="false">IF(B52="","",IFERROR(INDEX('Kitting Plan'!$D$5:$D$18,MATCH(B52,'Kitting Plan'!$C$5:$C$18,0)),"Unknown code"))</f>
        <v/>
      </c>
      <c r="D52" s="53" t="str">
        <f aca="false">IF(B52="","",IFERROR(INDEX('Kitting Plan'!$B$5:$B$18,MATCH(B52,'Kitting Plan'!$C$5:$C$18,0)),""))</f>
        <v/>
      </c>
      <c r="E52" s="45"/>
      <c r="F52" s="54" t="str">
        <f aca="false">IF(B52="","",IFERROR(IF(OR(E52="",E52="All"),INDEX('Kitting Plan'!$E$5:$E$18,MATCH(B52,'Kitting Plan'!$C$5:$C$18,0)),INDEX('Kitting Plan'!$H$5:$H$18,MATCH(B52,'Kitting Plan'!$C$5:$C$18,0))),""))</f>
        <v/>
      </c>
      <c r="G52" s="45"/>
      <c r="H52" s="55" t="str">
        <f aca="false">IF(B52="","",IF(G52="",F52,G52))</f>
        <v/>
      </c>
      <c r="I52" s="45"/>
      <c r="J52" s="56"/>
      <c r="K52" s="46"/>
      <c r="L52" s="53" t="str">
        <f aca="false">IF(A52="","",IF(B52="","Missing code",IF(C52="Unknown code","Unknown code",IF(COUNTIF($A$6:$A$505,A52)&gt;1,"Duplicate WO",""))))</f>
        <v/>
      </c>
    </row>
    <row r="53" customFormat="false" ht="15" hidden="false" customHeight="false" outlineLevel="0" collapsed="false">
      <c r="A53" s="46"/>
      <c r="B53" s="46"/>
      <c r="C53" s="53" t="str">
        <f aca="false">IF(B53="","",IFERROR(INDEX('Kitting Plan'!$D$5:$D$18,MATCH(B53,'Kitting Plan'!$C$5:$C$18,0)),"Unknown code"))</f>
        <v/>
      </c>
      <c r="D53" s="53" t="str">
        <f aca="false">IF(B53="","",IFERROR(INDEX('Kitting Plan'!$B$5:$B$18,MATCH(B53,'Kitting Plan'!$C$5:$C$18,0)),""))</f>
        <v/>
      </c>
      <c r="E53" s="45"/>
      <c r="F53" s="54" t="str">
        <f aca="false">IF(B53="","",IFERROR(IF(OR(E53="",E53="All"),INDEX('Kitting Plan'!$E$5:$E$18,MATCH(B53,'Kitting Plan'!$C$5:$C$18,0)),INDEX('Kitting Plan'!$H$5:$H$18,MATCH(B53,'Kitting Plan'!$C$5:$C$18,0))),""))</f>
        <v/>
      </c>
      <c r="G53" s="45"/>
      <c r="H53" s="55" t="str">
        <f aca="false">IF(B53="","",IF(G53="",F53,G53))</f>
        <v/>
      </c>
      <c r="I53" s="45"/>
      <c r="J53" s="56"/>
      <c r="K53" s="46"/>
      <c r="L53" s="53" t="str">
        <f aca="false">IF(A53="","",IF(B53="","Missing code",IF(C53="Unknown code","Unknown code",IF(COUNTIF($A$6:$A$505,A53)&gt;1,"Duplicate WO",""))))</f>
        <v/>
      </c>
    </row>
    <row r="54" customFormat="false" ht="15" hidden="false" customHeight="false" outlineLevel="0" collapsed="false">
      <c r="A54" s="46"/>
      <c r="B54" s="46"/>
      <c r="C54" s="53" t="str">
        <f aca="false">IF(B54="","",IFERROR(INDEX('Kitting Plan'!$D$5:$D$18,MATCH(B54,'Kitting Plan'!$C$5:$C$18,0)),"Unknown code"))</f>
        <v/>
      </c>
      <c r="D54" s="53" t="str">
        <f aca="false">IF(B54="","",IFERROR(INDEX('Kitting Plan'!$B$5:$B$18,MATCH(B54,'Kitting Plan'!$C$5:$C$18,0)),""))</f>
        <v/>
      </c>
      <c r="E54" s="45"/>
      <c r="F54" s="54" t="str">
        <f aca="false">IF(B54="","",IFERROR(IF(OR(E54="",E54="All"),INDEX('Kitting Plan'!$E$5:$E$18,MATCH(B54,'Kitting Plan'!$C$5:$C$18,0)),INDEX('Kitting Plan'!$H$5:$H$18,MATCH(B54,'Kitting Plan'!$C$5:$C$18,0))),""))</f>
        <v/>
      </c>
      <c r="G54" s="45"/>
      <c r="H54" s="55" t="str">
        <f aca="false">IF(B54="","",IF(G54="",F54,G54))</f>
        <v/>
      </c>
      <c r="I54" s="45"/>
      <c r="J54" s="56"/>
      <c r="K54" s="46"/>
      <c r="L54" s="53" t="str">
        <f aca="false">IF(A54="","",IF(B54="","Missing code",IF(C54="Unknown code","Unknown code",IF(COUNTIF($A$6:$A$505,A54)&gt;1,"Duplicate WO",""))))</f>
        <v/>
      </c>
    </row>
    <row r="55" customFormat="false" ht="15" hidden="false" customHeight="false" outlineLevel="0" collapsed="false">
      <c r="A55" s="46"/>
      <c r="B55" s="46"/>
      <c r="C55" s="53" t="str">
        <f aca="false">IF(B55="","",IFERROR(INDEX('Kitting Plan'!$D$5:$D$18,MATCH(B55,'Kitting Plan'!$C$5:$C$18,0)),"Unknown code"))</f>
        <v/>
      </c>
      <c r="D55" s="53" t="str">
        <f aca="false">IF(B55="","",IFERROR(INDEX('Kitting Plan'!$B$5:$B$18,MATCH(B55,'Kitting Plan'!$C$5:$C$18,0)),""))</f>
        <v/>
      </c>
      <c r="E55" s="45"/>
      <c r="F55" s="54" t="str">
        <f aca="false">IF(B55="","",IFERROR(IF(OR(E55="",E55="All"),INDEX('Kitting Plan'!$E$5:$E$18,MATCH(B55,'Kitting Plan'!$C$5:$C$18,0)),INDEX('Kitting Plan'!$H$5:$H$18,MATCH(B55,'Kitting Plan'!$C$5:$C$18,0))),""))</f>
        <v/>
      </c>
      <c r="G55" s="45"/>
      <c r="H55" s="55" t="str">
        <f aca="false">IF(B55="","",IF(G55="",F55,G55))</f>
        <v/>
      </c>
      <c r="I55" s="45"/>
      <c r="J55" s="56"/>
      <c r="K55" s="46"/>
      <c r="L55" s="53" t="str">
        <f aca="false">IF(A55="","",IF(B55="","Missing code",IF(C55="Unknown code","Unknown code",IF(COUNTIF($A$6:$A$505,A55)&gt;1,"Duplicate WO",""))))</f>
        <v/>
      </c>
    </row>
    <row r="56" customFormat="false" ht="15" hidden="false" customHeight="false" outlineLevel="0" collapsed="false">
      <c r="A56" s="46"/>
      <c r="B56" s="46"/>
      <c r="C56" s="53" t="str">
        <f aca="false">IF(B56="","",IFERROR(INDEX('Kitting Plan'!$D$5:$D$18,MATCH(B56,'Kitting Plan'!$C$5:$C$18,0)),"Unknown code"))</f>
        <v/>
      </c>
      <c r="D56" s="53" t="str">
        <f aca="false">IF(B56="","",IFERROR(INDEX('Kitting Plan'!$B$5:$B$18,MATCH(B56,'Kitting Plan'!$C$5:$C$18,0)),""))</f>
        <v/>
      </c>
      <c r="E56" s="45"/>
      <c r="F56" s="54" t="str">
        <f aca="false">IF(B56="","",IFERROR(IF(OR(E56="",E56="All"),INDEX('Kitting Plan'!$E$5:$E$18,MATCH(B56,'Kitting Plan'!$C$5:$C$18,0)),INDEX('Kitting Plan'!$H$5:$H$18,MATCH(B56,'Kitting Plan'!$C$5:$C$18,0))),""))</f>
        <v/>
      </c>
      <c r="G56" s="45"/>
      <c r="H56" s="55" t="str">
        <f aca="false">IF(B56="","",IF(G56="",F56,G56))</f>
        <v/>
      </c>
      <c r="I56" s="45"/>
      <c r="J56" s="56"/>
      <c r="K56" s="46"/>
      <c r="L56" s="53" t="str">
        <f aca="false">IF(A56="","",IF(B56="","Missing code",IF(C56="Unknown code","Unknown code",IF(COUNTIF($A$6:$A$505,A56)&gt;1,"Duplicate WO",""))))</f>
        <v/>
      </c>
    </row>
    <row r="57" customFormat="false" ht="15" hidden="false" customHeight="false" outlineLevel="0" collapsed="false">
      <c r="A57" s="46"/>
      <c r="B57" s="46"/>
      <c r="C57" s="53" t="str">
        <f aca="false">IF(B57="","",IFERROR(INDEX('Kitting Plan'!$D$5:$D$18,MATCH(B57,'Kitting Plan'!$C$5:$C$18,0)),"Unknown code"))</f>
        <v/>
      </c>
      <c r="D57" s="53" t="str">
        <f aca="false">IF(B57="","",IFERROR(INDEX('Kitting Plan'!$B$5:$B$18,MATCH(B57,'Kitting Plan'!$C$5:$C$18,0)),""))</f>
        <v/>
      </c>
      <c r="E57" s="45"/>
      <c r="F57" s="54" t="str">
        <f aca="false">IF(B57="","",IFERROR(IF(OR(E57="",E57="All"),INDEX('Kitting Plan'!$E$5:$E$18,MATCH(B57,'Kitting Plan'!$C$5:$C$18,0)),INDEX('Kitting Plan'!$H$5:$H$18,MATCH(B57,'Kitting Plan'!$C$5:$C$18,0))),""))</f>
        <v/>
      </c>
      <c r="G57" s="45"/>
      <c r="H57" s="55" t="str">
        <f aca="false">IF(B57="","",IF(G57="",F57,G57))</f>
        <v/>
      </c>
      <c r="I57" s="45"/>
      <c r="J57" s="56"/>
      <c r="K57" s="46"/>
      <c r="L57" s="53" t="str">
        <f aca="false">IF(A57="","",IF(B57="","Missing code",IF(C57="Unknown code","Unknown code",IF(COUNTIF($A$6:$A$505,A57)&gt;1,"Duplicate WO",""))))</f>
        <v/>
      </c>
    </row>
    <row r="58" customFormat="false" ht="15" hidden="false" customHeight="false" outlineLevel="0" collapsed="false">
      <c r="A58" s="46"/>
      <c r="B58" s="46"/>
      <c r="C58" s="53" t="str">
        <f aca="false">IF(B58="","",IFERROR(INDEX('Kitting Plan'!$D$5:$D$18,MATCH(B58,'Kitting Plan'!$C$5:$C$18,0)),"Unknown code"))</f>
        <v/>
      </c>
      <c r="D58" s="53" t="str">
        <f aca="false">IF(B58="","",IFERROR(INDEX('Kitting Plan'!$B$5:$B$18,MATCH(B58,'Kitting Plan'!$C$5:$C$18,0)),""))</f>
        <v/>
      </c>
      <c r="E58" s="45"/>
      <c r="F58" s="54" t="str">
        <f aca="false">IF(B58="","",IFERROR(IF(OR(E58="",E58="All"),INDEX('Kitting Plan'!$E$5:$E$18,MATCH(B58,'Kitting Plan'!$C$5:$C$18,0)),INDEX('Kitting Plan'!$H$5:$H$18,MATCH(B58,'Kitting Plan'!$C$5:$C$18,0))),""))</f>
        <v/>
      </c>
      <c r="G58" s="45"/>
      <c r="H58" s="55" t="str">
        <f aca="false">IF(B58="","",IF(G58="",F58,G58))</f>
        <v/>
      </c>
      <c r="I58" s="45"/>
      <c r="J58" s="56"/>
      <c r="K58" s="46"/>
      <c r="L58" s="53" t="str">
        <f aca="false">IF(A58="","",IF(B58="","Missing code",IF(C58="Unknown code","Unknown code",IF(COUNTIF($A$6:$A$505,A58)&gt;1,"Duplicate WO",""))))</f>
        <v/>
      </c>
    </row>
    <row r="59" customFormat="false" ht="15" hidden="false" customHeight="false" outlineLevel="0" collapsed="false">
      <c r="A59" s="46"/>
      <c r="B59" s="46"/>
      <c r="C59" s="53" t="str">
        <f aca="false">IF(B59="","",IFERROR(INDEX('Kitting Plan'!$D$5:$D$18,MATCH(B59,'Kitting Plan'!$C$5:$C$18,0)),"Unknown code"))</f>
        <v/>
      </c>
      <c r="D59" s="53" t="str">
        <f aca="false">IF(B59="","",IFERROR(INDEX('Kitting Plan'!$B$5:$B$18,MATCH(B59,'Kitting Plan'!$C$5:$C$18,0)),""))</f>
        <v/>
      </c>
      <c r="E59" s="45"/>
      <c r="F59" s="54" t="str">
        <f aca="false">IF(B59="","",IFERROR(IF(OR(E59="",E59="All"),INDEX('Kitting Plan'!$E$5:$E$18,MATCH(B59,'Kitting Plan'!$C$5:$C$18,0)),INDEX('Kitting Plan'!$H$5:$H$18,MATCH(B59,'Kitting Plan'!$C$5:$C$18,0))),""))</f>
        <v/>
      </c>
      <c r="G59" s="45"/>
      <c r="H59" s="55" t="str">
        <f aca="false">IF(B59="","",IF(G59="",F59,G59))</f>
        <v/>
      </c>
      <c r="I59" s="45"/>
      <c r="J59" s="56"/>
      <c r="K59" s="46"/>
      <c r="L59" s="53" t="str">
        <f aca="false">IF(A59="","",IF(B59="","Missing code",IF(C59="Unknown code","Unknown code",IF(COUNTIF($A$6:$A$505,A59)&gt;1,"Duplicate WO",""))))</f>
        <v/>
      </c>
    </row>
    <row r="60" customFormat="false" ht="15" hidden="false" customHeight="false" outlineLevel="0" collapsed="false">
      <c r="A60" s="46"/>
      <c r="B60" s="46"/>
      <c r="C60" s="53" t="str">
        <f aca="false">IF(B60="","",IFERROR(INDEX('Kitting Plan'!$D$5:$D$18,MATCH(B60,'Kitting Plan'!$C$5:$C$18,0)),"Unknown code"))</f>
        <v/>
      </c>
      <c r="D60" s="53" t="str">
        <f aca="false">IF(B60="","",IFERROR(INDEX('Kitting Plan'!$B$5:$B$18,MATCH(B60,'Kitting Plan'!$C$5:$C$18,0)),""))</f>
        <v/>
      </c>
      <c r="E60" s="45"/>
      <c r="F60" s="54" t="str">
        <f aca="false">IF(B60="","",IFERROR(IF(OR(E60="",E60="All"),INDEX('Kitting Plan'!$E$5:$E$18,MATCH(B60,'Kitting Plan'!$C$5:$C$18,0)),INDEX('Kitting Plan'!$H$5:$H$18,MATCH(B60,'Kitting Plan'!$C$5:$C$18,0))),""))</f>
        <v/>
      </c>
      <c r="G60" s="45"/>
      <c r="H60" s="55" t="str">
        <f aca="false">IF(B60="","",IF(G60="",F60,G60))</f>
        <v/>
      </c>
      <c r="I60" s="45"/>
      <c r="J60" s="56"/>
      <c r="K60" s="46"/>
      <c r="L60" s="53" t="str">
        <f aca="false">IF(A60="","",IF(B60="","Missing code",IF(C60="Unknown code","Unknown code",IF(COUNTIF($A$6:$A$505,A60)&gt;1,"Duplicate WO",""))))</f>
        <v/>
      </c>
    </row>
    <row r="61" customFormat="false" ht="15" hidden="false" customHeight="false" outlineLevel="0" collapsed="false">
      <c r="A61" s="46"/>
      <c r="B61" s="46"/>
      <c r="C61" s="53" t="str">
        <f aca="false">IF(B61="","",IFERROR(INDEX('Kitting Plan'!$D$5:$D$18,MATCH(B61,'Kitting Plan'!$C$5:$C$18,0)),"Unknown code"))</f>
        <v/>
      </c>
      <c r="D61" s="53" t="str">
        <f aca="false">IF(B61="","",IFERROR(INDEX('Kitting Plan'!$B$5:$B$18,MATCH(B61,'Kitting Plan'!$C$5:$C$18,0)),""))</f>
        <v/>
      </c>
      <c r="E61" s="45"/>
      <c r="F61" s="54" t="str">
        <f aca="false">IF(B61="","",IFERROR(IF(OR(E61="",E61="All"),INDEX('Kitting Plan'!$E$5:$E$18,MATCH(B61,'Kitting Plan'!$C$5:$C$18,0)),INDEX('Kitting Plan'!$H$5:$H$18,MATCH(B61,'Kitting Plan'!$C$5:$C$18,0))),""))</f>
        <v/>
      </c>
      <c r="G61" s="45"/>
      <c r="H61" s="55" t="str">
        <f aca="false">IF(B61="","",IF(G61="",F61,G61))</f>
        <v/>
      </c>
      <c r="I61" s="45"/>
      <c r="J61" s="56"/>
      <c r="K61" s="46"/>
      <c r="L61" s="53" t="str">
        <f aca="false">IF(A61="","",IF(B61="","Missing code",IF(C61="Unknown code","Unknown code",IF(COUNTIF($A$6:$A$505,A61)&gt;1,"Duplicate WO",""))))</f>
        <v/>
      </c>
    </row>
    <row r="62" customFormat="false" ht="15" hidden="false" customHeight="false" outlineLevel="0" collapsed="false">
      <c r="A62" s="46"/>
      <c r="B62" s="46"/>
      <c r="C62" s="53" t="str">
        <f aca="false">IF(B62="","",IFERROR(INDEX('Kitting Plan'!$D$5:$D$18,MATCH(B62,'Kitting Plan'!$C$5:$C$18,0)),"Unknown code"))</f>
        <v/>
      </c>
      <c r="D62" s="53" t="str">
        <f aca="false">IF(B62="","",IFERROR(INDEX('Kitting Plan'!$B$5:$B$18,MATCH(B62,'Kitting Plan'!$C$5:$C$18,0)),""))</f>
        <v/>
      </c>
      <c r="E62" s="45"/>
      <c r="F62" s="54" t="str">
        <f aca="false">IF(B62="","",IFERROR(IF(OR(E62="",E62="All"),INDEX('Kitting Plan'!$E$5:$E$18,MATCH(B62,'Kitting Plan'!$C$5:$C$18,0)),INDEX('Kitting Plan'!$H$5:$H$18,MATCH(B62,'Kitting Plan'!$C$5:$C$18,0))),""))</f>
        <v/>
      </c>
      <c r="G62" s="45"/>
      <c r="H62" s="55" t="str">
        <f aca="false">IF(B62="","",IF(G62="",F62,G62))</f>
        <v/>
      </c>
      <c r="I62" s="45"/>
      <c r="J62" s="56"/>
      <c r="K62" s="46"/>
      <c r="L62" s="53" t="str">
        <f aca="false">IF(A62="","",IF(B62="","Missing code",IF(C62="Unknown code","Unknown code",IF(COUNTIF($A$6:$A$505,A62)&gt;1,"Duplicate WO",""))))</f>
        <v/>
      </c>
    </row>
    <row r="63" customFormat="false" ht="15" hidden="false" customHeight="false" outlineLevel="0" collapsed="false">
      <c r="A63" s="46"/>
      <c r="B63" s="46"/>
      <c r="C63" s="53" t="str">
        <f aca="false">IF(B63="","",IFERROR(INDEX('Kitting Plan'!$D$5:$D$18,MATCH(B63,'Kitting Plan'!$C$5:$C$18,0)),"Unknown code"))</f>
        <v/>
      </c>
      <c r="D63" s="53" t="str">
        <f aca="false">IF(B63="","",IFERROR(INDEX('Kitting Plan'!$B$5:$B$18,MATCH(B63,'Kitting Plan'!$C$5:$C$18,0)),""))</f>
        <v/>
      </c>
      <c r="E63" s="45"/>
      <c r="F63" s="54" t="str">
        <f aca="false">IF(B63="","",IFERROR(IF(OR(E63="",E63="All"),INDEX('Kitting Plan'!$E$5:$E$18,MATCH(B63,'Kitting Plan'!$C$5:$C$18,0)),INDEX('Kitting Plan'!$H$5:$H$18,MATCH(B63,'Kitting Plan'!$C$5:$C$18,0))),""))</f>
        <v/>
      </c>
      <c r="G63" s="45"/>
      <c r="H63" s="55" t="str">
        <f aca="false">IF(B63="","",IF(G63="",F63,G63))</f>
        <v/>
      </c>
      <c r="I63" s="45"/>
      <c r="J63" s="56"/>
      <c r="K63" s="46"/>
      <c r="L63" s="53" t="str">
        <f aca="false">IF(A63="","",IF(B63="","Missing code",IF(C63="Unknown code","Unknown code",IF(COUNTIF($A$6:$A$505,A63)&gt;1,"Duplicate WO",""))))</f>
        <v/>
      </c>
    </row>
    <row r="64" customFormat="false" ht="15" hidden="false" customHeight="false" outlineLevel="0" collapsed="false">
      <c r="A64" s="46"/>
      <c r="B64" s="46"/>
      <c r="C64" s="53" t="str">
        <f aca="false">IF(B64="","",IFERROR(INDEX('Kitting Plan'!$D$5:$D$18,MATCH(B64,'Kitting Plan'!$C$5:$C$18,0)),"Unknown code"))</f>
        <v/>
      </c>
      <c r="D64" s="53" t="str">
        <f aca="false">IF(B64="","",IFERROR(INDEX('Kitting Plan'!$B$5:$B$18,MATCH(B64,'Kitting Plan'!$C$5:$C$18,0)),""))</f>
        <v/>
      </c>
      <c r="E64" s="45"/>
      <c r="F64" s="54" t="str">
        <f aca="false">IF(B64="","",IFERROR(IF(OR(E64="",E64="All"),INDEX('Kitting Plan'!$E$5:$E$18,MATCH(B64,'Kitting Plan'!$C$5:$C$18,0)),INDEX('Kitting Plan'!$H$5:$H$18,MATCH(B64,'Kitting Plan'!$C$5:$C$18,0))),""))</f>
        <v/>
      </c>
      <c r="G64" s="45"/>
      <c r="H64" s="55" t="str">
        <f aca="false">IF(B64="","",IF(G64="",F64,G64))</f>
        <v/>
      </c>
      <c r="I64" s="45"/>
      <c r="J64" s="56"/>
      <c r="K64" s="46"/>
      <c r="L64" s="53" t="str">
        <f aca="false">IF(A64="","",IF(B64="","Missing code",IF(C64="Unknown code","Unknown code",IF(COUNTIF($A$6:$A$505,A64)&gt;1,"Duplicate WO",""))))</f>
        <v/>
      </c>
    </row>
    <row r="65" customFormat="false" ht="15" hidden="false" customHeight="false" outlineLevel="0" collapsed="false">
      <c r="A65" s="46"/>
      <c r="B65" s="46"/>
      <c r="C65" s="53" t="str">
        <f aca="false">IF(B65="","",IFERROR(INDEX('Kitting Plan'!$D$5:$D$18,MATCH(B65,'Kitting Plan'!$C$5:$C$18,0)),"Unknown code"))</f>
        <v/>
      </c>
      <c r="D65" s="53" t="str">
        <f aca="false">IF(B65="","",IFERROR(INDEX('Kitting Plan'!$B$5:$B$18,MATCH(B65,'Kitting Plan'!$C$5:$C$18,0)),""))</f>
        <v/>
      </c>
      <c r="E65" s="45"/>
      <c r="F65" s="54" t="str">
        <f aca="false">IF(B65="","",IFERROR(IF(OR(E65="",E65="All"),INDEX('Kitting Plan'!$E$5:$E$18,MATCH(B65,'Kitting Plan'!$C$5:$C$18,0)),INDEX('Kitting Plan'!$H$5:$H$18,MATCH(B65,'Kitting Plan'!$C$5:$C$18,0))),""))</f>
        <v/>
      </c>
      <c r="G65" s="45"/>
      <c r="H65" s="55" t="str">
        <f aca="false">IF(B65="","",IF(G65="",F65,G65))</f>
        <v/>
      </c>
      <c r="I65" s="45"/>
      <c r="J65" s="56"/>
      <c r="K65" s="46"/>
      <c r="L65" s="53" t="str">
        <f aca="false">IF(A65="","",IF(B65="","Missing code",IF(C65="Unknown code","Unknown code",IF(COUNTIF($A$6:$A$505,A65)&gt;1,"Duplicate WO",""))))</f>
        <v/>
      </c>
    </row>
    <row r="66" customFormat="false" ht="15" hidden="false" customHeight="false" outlineLevel="0" collapsed="false">
      <c r="A66" s="46"/>
      <c r="B66" s="46"/>
      <c r="C66" s="53" t="str">
        <f aca="false">IF(B66="","",IFERROR(INDEX('Kitting Plan'!$D$5:$D$18,MATCH(B66,'Kitting Plan'!$C$5:$C$18,0)),"Unknown code"))</f>
        <v/>
      </c>
      <c r="D66" s="53" t="str">
        <f aca="false">IF(B66="","",IFERROR(INDEX('Kitting Plan'!$B$5:$B$18,MATCH(B66,'Kitting Plan'!$C$5:$C$18,0)),""))</f>
        <v/>
      </c>
      <c r="E66" s="45"/>
      <c r="F66" s="54" t="str">
        <f aca="false">IF(B66="","",IFERROR(IF(OR(E66="",E66="All"),INDEX('Kitting Plan'!$E$5:$E$18,MATCH(B66,'Kitting Plan'!$C$5:$C$18,0)),INDEX('Kitting Plan'!$H$5:$H$18,MATCH(B66,'Kitting Plan'!$C$5:$C$18,0))),""))</f>
        <v/>
      </c>
      <c r="G66" s="45"/>
      <c r="H66" s="55" t="str">
        <f aca="false">IF(B66="","",IF(G66="",F66,G66))</f>
        <v/>
      </c>
      <c r="I66" s="45"/>
      <c r="J66" s="56"/>
      <c r="K66" s="46"/>
      <c r="L66" s="53" t="str">
        <f aca="false">IF(A66="","",IF(B66="","Missing code",IF(C66="Unknown code","Unknown code",IF(COUNTIF($A$6:$A$505,A66)&gt;1,"Duplicate WO",""))))</f>
        <v/>
      </c>
    </row>
    <row r="67" customFormat="false" ht="15" hidden="false" customHeight="false" outlineLevel="0" collapsed="false">
      <c r="A67" s="46"/>
      <c r="B67" s="46"/>
      <c r="C67" s="53" t="str">
        <f aca="false">IF(B67="","",IFERROR(INDEX('Kitting Plan'!$D$5:$D$18,MATCH(B67,'Kitting Plan'!$C$5:$C$18,0)),"Unknown code"))</f>
        <v/>
      </c>
      <c r="D67" s="53" t="str">
        <f aca="false">IF(B67="","",IFERROR(INDEX('Kitting Plan'!$B$5:$B$18,MATCH(B67,'Kitting Plan'!$C$5:$C$18,0)),""))</f>
        <v/>
      </c>
      <c r="E67" s="45"/>
      <c r="F67" s="54" t="str">
        <f aca="false">IF(B67="","",IFERROR(IF(OR(E67="",E67="All"),INDEX('Kitting Plan'!$E$5:$E$18,MATCH(B67,'Kitting Plan'!$C$5:$C$18,0)),INDEX('Kitting Plan'!$H$5:$H$18,MATCH(B67,'Kitting Plan'!$C$5:$C$18,0))),""))</f>
        <v/>
      </c>
      <c r="G67" s="45"/>
      <c r="H67" s="55" t="str">
        <f aca="false">IF(B67="","",IF(G67="",F67,G67))</f>
        <v/>
      </c>
      <c r="I67" s="45"/>
      <c r="J67" s="56"/>
      <c r="K67" s="46"/>
      <c r="L67" s="53" t="str">
        <f aca="false">IF(A67="","",IF(B67="","Missing code",IF(C67="Unknown code","Unknown code",IF(COUNTIF($A$6:$A$505,A67)&gt;1,"Duplicate WO",""))))</f>
        <v/>
      </c>
    </row>
    <row r="68" customFormat="false" ht="15" hidden="false" customHeight="false" outlineLevel="0" collapsed="false">
      <c r="A68" s="46"/>
      <c r="B68" s="46"/>
      <c r="C68" s="53" t="str">
        <f aca="false">IF(B68="","",IFERROR(INDEX('Kitting Plan'!$D$5:$D$18,MATCH(B68,'Kitting Plan'!$C$5:$C$18,0)),"Unknown code"))</f>
        <v/>
      </c>
      <c r="D68" s="53" t="str">
        <f aca="false">IF(B68="","",IFERROR(INDEX('Kitting Plan'!$B$5:$B$18,MATCH(B68,'Kitting Plan'!$C$5:$C$18,0)),""))</f>
        <v/>
      </c>
      <c r="E68" s="45"/>
      <c r="F68" s="54" t="str">
        <f aca="false">IF(B68="","",IFERROR(IF(OR(E68="",E68="All"),INDEX('Kitting Plan'!$E$5:$E$18,MATCH(B68,'Kitting Plan'!$C$5:$C$18,0)),INDEX('Kitting Plan'!$H$5:$H$18,MATCH(B68,'Kitting Plan'!$C$5:$C$18,0))),""))</f>
        <v/>
      </c>
      <c r="G68" s="45"/>
      <c r="H68" s="55" t="str">
        <f aca="false">IF(B68="","",IF(G68="",F68,G68))</f>
        <v/>
      </c>
      <c r="I68" s="45"/>
      <c r="J68" s="56"/>
      <c r="K68" s="46"/>
      <c r="L68" s="53" t="str">
        <f aca="false">IF(A68="","",IF(B68="","Missing code",IF(C68="Unknown code","Unknown code",IF(COUNTIF($A$6:$A$505,A68)&gt;1,"Duplicate WO",""))))</f>
        <v/>
      </c>
    </row>
    <row r="69" customFormat="false" ht="15" hidden="false" customHeight="false" outlineLevel="0" collapsed="false">
      <c r="A69" s="46"/>
      <c r="B69" s="46"/>
      <c r="C69" s="53" t="str">
        <f aca="false">IF(B69="","",IFERROR(INDEX('Kitting Plan'!$D$5:$D$18,MATCH(B69,'Kitting Plan'!$C$5:$C$18,0)),"Unknown code"))</f>
        <v/>
      </c>
      <c r="D69" s="53" t="str">
        <f aca="false">IF(B69="","",IFERROR(INDEX('Kitting Plan'!$B$5:$B$18,MATCH(B69,'Kitting Plan'!$C$5:$C$18,0)),""))</f>
        <v/>
      </c>
      <c r="E69" s="45"/>
      <c r="F69" s="54" t="str">
        <f aca="false">IF(B69="","",IFERROR(IF(OR(E69="",E69="All"),INDEX('Kitting Plan'!$E$5:$E$18,MATCH(B69,'Kitting Plan'!$C$5:$C$18,0)),INDEX('Kitting Plan'!$H$5:$H$18,MATCH(B69,'Kitting Plan'!$C$5:$C$18,0))),""))</f>
        <v/>
      </c>
      <c r="G69" s="45"/>
      <c r="H69" s="55" t="str">
        <f aca="false">IF(B69="","",IF(G69="",F69,G69))</f>
        <v/>
      </c>
      <c r="I69" s="45"/>
      <c r="J69" s="56"/>
      <c r="K69" s="46"/>
      <c r="L69" s="53" t="str">
        <f aca="false">IF(A69="","",IF(B69="","Missing code",IF(C69="Unknown code","Unknown code",IF(COUNTIF($A$6:$A$505,A69)&gt;1,"Duplicate WO",""))))</f>
        <v/>
      </c>
    </row>
    <row r="70" customFormat="false" ht="15" hidden="false" customHeight="false" outlineLevel="0" collapsed="false">
      <c r="A70" s="46"/>
      <c r="B70" s="46"/>
      <c r="C70" s="53" t="str">
        <f aca="false">IF(B70="","",IFERROR(INDEX('Kitting Plan'!$D$5:$D$18,MATCH(B70,'Kitting Plan'!$C$5:$C$18,0)),"Unknown code"))</f>
        <v/>
      </c>
      <c r="D70" s="53" t="str">
        <f aca="false">IF(B70="","",IFERROR(INDEX('Kitting Plan'!$B$5:$B$18,MATCH(B70,'Kitting Plan'!$C$5:$C$18,0)),""))</f>
        <v/>
      </c>
      <c r="E70" s="45"/>
      <c r="F70" s="54" t="str">
        <f aca="false">IF(B70="","",IFERROR(IF(OR(E70="",E70="All"),INDEX('Kitting Plan'!$E$5:$E$18,MATCH(B70,'Kitting Plan'!$C$5:$C$18,0)),INDEX('Kitting Plan'!$H$5:$H$18,MATCH(B70,'Kitting Plan'!$C$5:$C$18,0))),""))</f>
        <v/>
      </c>
      <c r="G70" s="45"/>
      <c r="H70" s="55" t="str">
        <f aca="false">IF(B70="","",IF(G70="",F70,G70))</f>
        <v/>
      </c>
      <c r="I70" s="45"/>
      <c r="J70" s="56"/>
      <c r="K70" s="46"/>
      <c r="L70" s="53" t="str">
        <f aca="false">IF(A70="","",IF(B70="","Missing code",IF(C70="Unknown code","Unknown code",IF(COUNTIF($A$6:$A$505,A70)&gt;1,"Duplicate WO",""))))</f>
        <v/>
      </c>
    </row>
    <row r="71" customFormat="false" ht="15" hidden="false" customHeight="false" outlineLevel="0" collapsed="false">
      <c r="A71" s="46"/>
      <c r="B71" s="46"/>
      <c r="C71" s="53" t="str">
        <f aca="false">IF(B71="","",IFERROR(INDEX('Kitting Plan'!$D$5:$D$18,MATCH(B71,'Kitting Plan'!$C$5:$C$18,0)),"Unknown code"))</f>
        <v/>
      </c>
      <c r="D71" s="53" t="str">
        <f aca="false">IF(B71="","",IFERROR(INDEX('Kitting Plan'!$B$5:$B$18,MATCH(B71,'Kitting Plan'!$C$5:$C$18,0)),""))</f>
        <v/>
      </c>
      <c r="E71" s="45"/>
      <c r="F71" s="54" t="str">
        <f aca="false">IF(B71="","",IFERROR(IF(OR(E71="",E71="All"),INDEX('Kitting Plan'!$E$5:$E$18,MATCH(B71,'Kitting Plan'!$C$5:$C$18,0)),INDEX('Kitting Plan'!$H$5:$H$18,MATCH(B71,'Kitting Plan'!$C$5:$C$18,0))),""))</f>
        <v/>
      </c>
      <c r="G71" s="45"/>
      <c r="H71" s="55" t="str">
        <f aca="false">IF(B71="","",IF(G71="",F71,G71))</f>
        <v/>
      </c>
      <c r="I71" s="45"/>
      <c r="J71" s="56"/>
      <c r="K71" s="46"/>
      <c r="L71" s="53" t="str">
        <f aca="false">IF(A71="","",IF(B71="","Missing code",IF(C71="Unknown code","Unknown code",IF(COUNTIF($A$6:$A$505,A71)&gt;1,"Duplicate WO",""))))</f>
        <v/>
      </c>
    </row>
    <row r="72" customFormat="false" ht="15" hidden="false" customHeight="false" outlineLevel="0" collapsed="false">
      <c r="A72" s="46"/>
      <c r="B72" s="46"/>
      <c r="C72" s="53" t="str">
        <f aca="false">IF(B72="","",IFERROR(INDEX('Kitting Plan'!$D$5:$D$18,MATCH(B72,'Kitting Plan'!$C$5:$C$18,0)),"Unknown code"))</f>
        <v/>
      </c>
      <c r="D72" s="53" t="str">
        <f aca="false">IF(B72="","",IFERROR(INDEX('Kitting Plan'!$B$5:$B$18,MATCH(B72,'Kitting Plan'!$C$5:$C$18,0)),""))</f>
        <v/>
      </c>
      <c r="E72" s="45"/>
      <c r="F72" s="54" t="str">
        <f aca="false">IF(B72="","",IFERROR(IF(OR(E72="",E72="All"),INDEX('Kitting Plan'!$E$5:$E$18,MATCH(B72,'Kitting Plan'!$C$5:$C$18,0)),INDEX('Kitting Plan'!$H$5:$H$18,MATCH(B72,'Kitting Plan'!$C$5:$C$18,0))),""))</f>
        <v/>
      </c>
      <c r="G72" s="45"/>
      <c r="H72" s="55" t="str">
        <f aca="false">IF(B72="","",IF(G72="",F72,G72))</f>
        <v/>
      </c>
      <c r="I72" s="45"/>
      <c r="J72" s="56"/>
      <c r="K72" s="46"/>
      <c r="L72" s="53" t="str">
        <f aca="false">IF(A72="","",IF(B72="","Missing code",IF(C72="Unknown code","Unknown code",IF(COUNTIF($A$6:$A$505,A72)&gt;1,"Duplicate WO",""))))</f>
        <v/>
      </c>
    </row>
    <row r="73" customFormat="false" ht="15" hidden="false" customHeight="false" outlineLevel="0" collapsed="false">
      <c r="A73" s="46"/>
      <c r="B73" s="46"/>
      <c r="C73" s="53" t="str">
        <f aca="false">IF(B73="","",IFERROR(INDEX('Kitting Plan'!$D$5:$D$18,MATCH(B73,'Kitting Plan'!$C$5:$C$18,0)),"Unknown code"))</f>
        <v/>
      </c>
      <c r="D73" s="53" t="str">
        <f aca="false">IF(B73="","",IFERROR(INDEX('Kitting Plan'!$B$5:$B$18,MATCH(B73,'Kitting Plan'!$C$5:$C$18,0)),""))</f>
        <v/>
      </c>
      <c r="E73" s="45"/>
      <c r="F73" s="54" t="str">
        <f aca="false">IF(B73="","",IFERROR(IF(OR(E73="",E73="All"),INDEX('Kitting Plan'!$E$5:$E$18,MATCH(B73,'Kitting Plan'!$C$5:$C$18,0)),INDEX('Kitting Plan'!$H$5:$H$18,MATCH(B73,'Kitting Plan'!$C$5:$C$18,0))),""))</f>
        <v/>
      </c>
      <c r="G73" s="45"/>
      <c r="H73" s="55" t="str">
        <f aca="false">IF(B73="","",IF(G73="",F73,G73))</f>
        <v/>
      </c>
      <c r="I73" s="45"/>
      <c r="J73" s="56"/>
      <c r="K73" s="46"/>
      <c r="L73" s="53" t="str">
        <f aca="false">IF(A73="","",IF(B73="","Missing code",IF(C73="Unknown code","Unknown code",IF(COUNTIF($A$6:$A$505,A73)&gt;1,"Duplicate WO",""))))</f>
        <v/>
      </c>
    </row>
    <row r="74" customFormat="false" ht="15" hidden="false" customHeight="false" outlineLevel="0" collapsed="false">
      <c r="A74" s="46"/>
      <c r="B74" s="46"/>
      <c r="C74" s="53" t="str">
        <f aca="false">IF(B74="","",IFERROR(INDEX('Kitting Plan'!$D$5:$D$18,MATCH(B74,'Kitting Plan'!$C$5:$C$18,0)),"Unknown code"))</f>
        <v/>
      </c>
      <c r="D74" s="53" t="str">
        <f aca="false">IF(B74="","",IFERROR(INDEX('Kitting Plan'!$B$5:$B$18,MATCH(B74,'Kitting Plan'!$C$5:$C$18,0)),""))</f>
        <v/>
      </c>
      <c r="E74" s="45"/>
      <c r="F74" s="54" t="str">
        <f aca="false">IF(B74="","",IFERROR(IF(OR(E74="",E74="All"),INDEX('Kitting Plan'!$E$5:$E$18,MATCH(B74,'Kitting Plan'!$C$5:$C$18,0)),INDEX('Kitting Plan'!$H$5:$H$18,MATCH(B74,'Kitting Plan'!$C$5:$C$18,0))),""))</f>
        <v/>
      </c>
      <c r="G74" s="45"/>
      <c r="H74" s="55" t="str">
        <f aca="false">IF(B74="","",IF(G74="",F74,G74))</f>
        <v/>
      </c>
      <c r="I74" s="45"/>
      <c r="J74" s="56"/>
      <c r="K74" s="46"/>
      <c r="L74" s="53" t="str">
        <f aca="false">IF(A74="","",IF(B74="","Missing code",IF(C74="Unknown code","Unknown code",IF(COUNTIF($A$6:$A$505,A74)&gt;1,"Duplicate WO",""))))</f>
        <v/>
      </c>
    </row>
    <row r="75" customFormat="false" ht="15" hidden="false" customHeight="false" outlineLevel="0" collapsed="false">
      <c r="A75" s="46"/>
      <c r="B75" s="46"/>
      <c r="C75" s="53" t="str">
        <f aca="false">IF(B75="","",IFERROR(INDEX('Kitting Plan'!$D$5:$D$18,MATCH(B75,'Kitting Plan'!$C$5:$C$18,0)),"Unknown code"))</f>
        <v/>
      </c>
      <c r="D75" s="53" t="str">
        <f aca="false">IF(B75="","",IFERROR(INDEX('Kitting Plan'!$B$5:$B$18,MATCH(B75,'Kitting Plan'!$C$5:$C$18,0)),""))</f>
        <v/>
      </c>
      <c r="E75" s="45"/>
      <c r="F75" s="54" t="str">
        <f aca="false">IF(B75="","",IFERROR(IF(OR(E75="",E75="All"),INDEX('Kitting Plan'!$E$5:$E$18,MATCH(B75,'Kitting Plan'!$C$5:$C$18,0)),INDEX('Kitting Plan'!$H$5:$H$18,MATCH(B75,'Kitting Plan'!$C$5:$C$18,0))),""))</f>
        <v/>
      </c>
      <c r="G75" s="45"/>
      <c r="H75" s="55" t="str">
        <f aca="false">IF(B75="","",IF(G75="",F75,G75))</f>
        <v/>
      </c>
      <c r="I75" s="45"/>
      <c r="J75" s="56"/>
      <c r="K75" s="46"/>
      <c r="L75" s="53" t="str">
        <f aca="false">IF(A75="","",IF(B75="","Missing code",IF(C75="Unknown code","Unknown code",IF(COUNTIF($A$6:$A$505,A75)&gt;1,"Duplicate WO",""))))</f>
        <v/>
      </c>
    </row>
    <row r="76" customFormat="false" ht="15" hidden="false" customHeight="false" outlineLevel="0" collapsed="false">
      <c r="A76" s="46"/>
      <c r="B76" s="46"/>
      <c r="C76" s="53" t="str">
        <f aca="false">IF(B76="","",IFERROR(INDEX('Kitting Plan'!$D$5:$D$18,MATCH(B76,'Kitting Plan'!$C$5:$C$18,0)),"Unknown code"))</f>
        <v/>
      </c>
      <c r="D76" s="53" t="str">
        <f aca="false">IF(B76="","",IFERROR(INDEX('Kitting Plan'!$B$5:$B$18,MATCH(B76,'Kitting Plan'!$C$5:$C$18,0)),""))</f>
        <v/>
      </c>
      <c r="E76" s="45"/>
      <c r="F76" s="54" t="str">
        <f aca="false">IF(B76="","",IFERROR(IF(OR(E76="",E76="All"),INDEX('Kitting Plan'!$E$5:$E$18,MATCH(B76,'Kitting Plan'!$C$5:$C$18,0)),INDEX('Kitting Plan'!$H$5:$H$18,MATCH(B76,'Kitting Plan'!$C$5:$C$18,0))),""))</f>
        <v/>
      </c>
      <c r="G76" s="45"/>
      <c r="H76" s="55" t="str">
        <f aca="false">IF(B76="","",IF(G76="",F76,G76))</f>
        <v/>
      </c>
      <c r="I76" s="45"/>
      <c r="J76" s="56"/>
      <c r="K76" s="46"/>
      <c r="L76" s="53" t="str">
        <f aca="false">IF(A76="","",IF(B76="","Missing code",IF(C76="Unknown code","Unknown code",IF(COUNTIF($A$6:$A$505,A76)&gt;1,"Duplicate WO",""))))</f>
        <v/>
      </c>
    </row>
    <row r="77" customFormat="false" ht="15" hidden="false" customHeight="false" outlineLevel="0" collapsed="false">
      <c r="A77" s="46"/>
      <c r="B77" s="46"/>
      <c r="C77" s="53" t="str">
        <f aca="false">IF(B77="","",IFERROR(INDEX('Kitting Plan'!$D$5:$D$18,MATCH(B77,'Kitting Plan'!$C$5:$C$18,0)),"Unknown code"))</f>
        <v/>
      </c>
      <c r="D77" s="53" t="str">
        <f aca="false">IF(B77="","",IFERROR(INDEX('Kitting Plan'!$B$5:$B$18,MATCH(B77,'Kitting Plan'!$C$5:$C$18,0)),""))</f>
        <v/>
      </c>
      <c r="E77" s="45"/>
      <c r="F77" s="54" t="str">
        <f aca="false">IF(B77="","",IFERROR(IF(OR(E77="",E77="All"),INDEX('Kitting Plan'!$E$5:$E$18,MATCH(B77,'Kitting Plan'!$C$5:$C$18,0)),INDEX('Kitting Plan'!$H$5:$H$18,MATCH(B77,'Kitting Plan'!$C$5:$C$18,0))),""))</f>
        <v/>
      </c>
      <c r="G77" s="45"/>
      <c r="H77" s="55" t="str">
        <f aca="false">IF(B77="","",IF(G77="",F77,G77))</f>
        <v/>
      </c>
      <c r="I77" s="45"/>
      <c r="J77" s="56"/>
      <c r="K77" s="46"/>
      <c r="L77" s="53" t="str">
        <f aca="false">IF(A77="","",IF(B77="","Missing code",IF(C77="Unknown code","Unknown code",IF(COUNTIF($A$6:$A$505,A77)&gt;1,"Duplicate WO",""))))</f>
        <v/>
      </c>
    </row>
    <row r="78" customFormat="false" ht="15" hidden="false" customHeight="false" outlineLevel="0" collapsed="false">
      <c r="A78" s="46"/>
      <c r="B78" s="46"/>
      <c r="C78" s="53" t="str">
        <f aca="false">IF(B78="","",IFERROR(INDEX('Kitting Plan'!$D$5:$D$18,MATCH(B78,'Kitting Plan'!$C$5:$C$18,0)),"Unknown code"))</f>
        <v/>
      </c>
      <c r="D78" s="53" t="str">
        <f aca="false">IF(B78="","",IFERROR(INDEX('Kitting Plan'!$B$5:$B$18,MATCH(B78,'Kitting Plan'!$C$5:$C$18,0)),""))</f>
        <v/>
      </c>
      <c r="E78" s="45"/>
      <c r="F78" s="54" t="str">
        <f aca="false">IF(B78="","",IFERROR(IF(OR(E78="",E78="All"),INDEX('Kitting Plan'!$E$5:$E$18,MATCH(B78,'Kitting Plan'!$C$5:$C$18,0)),INDEX('Kitting Plan'!$H$5:$H$18,MATCH(B78,'Kitting Plan'!$C$5:$C$18,0))),""))</f>
        <v/>
      </c>
      <c r="G78" s="45"/>
      <c r="H78" s="55" t="str">
        <f aca="false">IF(B78="","",IF(G78="",F78,G78))</f>
        <v/>
      </c>
      <c r="I78" s="45"/>
      <c r="J78" s="56"/>
      <c r="K78" s="46"/>
      <c r="L78" s="53" t="str">
        <f aca="false">IF(A78="","",IF(B78="","Missing code",IF(C78="Unknown code","Unknown code",IF(COUNTIF($A$6:$A$505,A78)&gt;1,"Duplicate WO",""))))</f>
        <v/>
      </c>
    </row>
    <row r="79" customFormat="false" ht="15" hidden="false" customHeight="false" outlineLevel="0" collapsed="false">
      <c r="A79" s="46"/>
      <c r="B79" s="46"/>
      <c r="C79" s="53" t="str">
        <f aca="false">IF(B79="","",IFERROR(INDEX('Kitting Plan'!$D$5:$D$18,MATCH(B79,'Kitting Plan'!$C$5:$C$18,0)),"Unknown code"))</f>
        <v/>
      </c>
      <c r="D79" s="53" t="str">
        <f aca="false">IF(B79="","",IFERROR(INDEX('Kitting Plan'!$B$5:$B$18,MATCH(B79,'Kitting Plan'!$C$5:$C$18,0)),""))</f>
        <v/>
      </c>
      <c r="E79" s="45"/>
      <c r="F79" s="54" t="str">
        <f aca="false">IF(B79="","",IFERROR(IF(OR(E79="",E79="All"),INDEX('Kitting Plan'!$E$5:$E$18,MATCH(B79,'Kitting Plan'!$C$5:$C$18,0)),INDEX('Kitting Plan'!$H$5:$H$18,MATCH(B79,'Kitting Plan'!$C$5:$C$18,0))),""))</f>
        <v/>
      </c>
      <c r="G79" s="45"/>
      <c r="H79" s="55" t="str">
        <f aca="false">IF(B79="","",IF(G79="",F79,G79))</f>
        <v/>
      </c>
      <c r="I79" s="45"/>
      <c r="J79" s="56"/>
      <c r="K79" s="46"/>
      <c r="L79" s="53" t="str">
        <f aca="false">IF(A79="","",IF(B79="","Missing code",IF(C79="Unknown code","Unknown code",IF(COUNTIF($A$6:$A$505,A79)&gt;1,"Duplicate WO",""))))</f>
        <v/>
      </c>
    </row>
    <row r="80" customFormat="false" ht="15" hidden="false" customHeight="false" outlineLevel="0" collapsed="false">
      <c r="A80" s="46"/>
      <c r="B80" s="46"/>
      <c r="C80" s="53" t="str">
        <f aca="false">IF(B80="","",IFERROR(INDEX('Kitting Plan'!$D$5:$D$18,MATCH(B80,'Kitting Plan'!$C$5:$C$18,0)),"Unknown code"))</f>
        <v/>
      </c>
      <c r="D80" s="53" t="str">
        <f aca="false">IF(B80="","",IFERROR(INDEX('Kitting Plan'!$B$5:$B$18,MATCH(B80,'Kitting Plan'!$C$5:$C$18,0)),""))</f>
        <v/>
      </c>
      <c r="E80" s="45"/>
      <c r="F80" s="54" t="str">
        <f aca="false">IF(B80="","",IFERROR(IF(OR(E80="",E80="All"),INDEX('Kitting Plan'!$E$5:$E$18,MATCH(B80,'Kitting Plan'!$C$5:$C$18,0)),INDEX('Kitting Plan'!$H$5:$H$18,MATCH(B80,'Kitting Plan'!$C$5:$C$18,0))),""))</f>
        <v/>
      </c>
      <c r="G80" s="45"/>
      <c r="H80" s="55" t="str">
        <f aca="false">IF(B80="","",IF(G80="",F80,G80))</f>
        <v/>
      </c>
      <c r="I80" s="45"/>
      <c r="J80" s="56"/>
      <c r="K80" s="46"/>
      <c r="L80" s="53" t="str">
        <f aca="false">IF(A80="","",IF(B80="","Missing code",IF(C80="Unknown code","Unknown code",IF(COUNTIF($A$6:$A$505,A80)&gt;1,"Duplicate WO",""))))</f>
        <v/>
      </c>
    </row>
    <row r="81" customFormat="false" ht="15" hidden="false" customHeight="false" outlineLevel="0" collapsed="false">
      <c r="A81" s="46"/>
      <c r="B81" s="46"/>
      <c r="C81" s="53" t="str">
        <f aca="false">IF(B81="","",IFERROR(INDEX('Kitting Plan'!$D$5:$D$18,MATCH(B81,'Kitting Plan'!$C$5:$C$18,0)),"Unknown code"))</f>
        <v/>
      </c>
      <c r="D81" s="53" t="str">
        <f aca="false">IF(B81="","",IFERROR(INDEX('Kitting Plan'!$B$5:$B$18,MATCH(B81,'Kitting Plan'!$C$5:$C$18,0)),""))</f>
        <v/>
      </c>
      <c r="E81" s="45"/>
      <c r="F81" s="54" t="str">
        <f aca="false">IF(B81="","",IFERROR(IF(OR(E81="",E81="All"),INDEX('Kitting Plan'!$E$5:$E$18,MATCH(B81,'Kitting Plan'!$C$5:$C$18,0)),INDEX('Kitting Plan'!$H$5:$H$18,MATCH(B81,'Kitting Plan'!$C$5:$C$18,0))),""))</f>
        <v/>
      </c>
      <c r="G81" s="45"/>
      <c r="H81" s="55" t="str">
        <f aca="false">IF(B81="","",IF(G81="",F81,G81))</f>
        <v/>
      </c>
      <c r="I81" s="45"/>
      <c r="J81" s="56"/>
      <c r="K81" s="46"/>
      <c r="L81" s="53" t="str">
        <f aca="false">IF(A81="","",IF(B81="","Missing code",IF(C81="Unknown code","Unknown code",IF(COUNTIF($A$6:$A$505,A81)&gt;1,"Duplicate WO",""))))</f>
        <v/>
      </c>
    </row>
    <row r="82" customFormat="false" ht="15" hidden="false" customHeight="false" outlineLevel="0" collapsed="false">
      <c r="A82" s="46"/>
      <c r="B82" s="46"/>
      <c r="C82" s="53" t="str">
        <f aca="false">IF(B82="","",IFERROR(INDEX('Kitting Plan'!$D$5:$D$18,MATCH(B82,'Kitting Plan'!$C$5:$C$18,0)),"Unknown code"))</f>
        <v/>
      </c>
      <c r="D82" s="53" t="str">
        <f aca="false">IF(B82="","",IFERROR(INDEX('Kitting Plan'!$B$5:$B$18,MATCH(B82,'Kitting Plan'!$C$5:$C$18,0)),""))</f>
        <v/>
      </c>
      <c r="E82" s="45"/>
      <c r="F82" s="54" t="str">
        <f aca="false">IF(B82="","",IFERROR(IF(OR(E82="",E82="All"),INDEX('Kitting Plan'!$E$5:$E$18,MATCH(B82,'Kitting Plan'!$C$5:$C$18,0)),INDEX('Kitting Plan'!$H$5:$H$18,MATCH(B82,'Kitting Plan'!$C$5:$C$18,0))),""))</f>
        <v/>
      </c>
      <c r="G82" s="45"/>
      <c r="H82" s="55" t="str">
        <f aca="false">IF(B82="","",IF(G82="",F82,G82))</f>
        <v/>
      </c>
      <c r="I82" s="45"/>
      <c r="J82" s="56"/>
      <c r="K82" s="46"/>
      <c r="L82" s="53" t="str">
        <f aca="false">IF(A82="","",IF(B82="","Missing code",IF(C82="Unknown code","Unknown code",IF(COUNTIF($A$6:$A$505,A82)&gt;1,"Duplicate WO",""))))</f>
        <v/>
      </c>
    </row>
    <row r="83" customFormat="false" ht="15" hidden="false" customHeight="false" outlineLevel="0" collapsed="false">
      <c r="A83" s="46"/>
      <c r="B83" s="46"/>
      <c r="C83" s="53" t="str">
        <f aca="false">IF(B83="","",IFERROR(INDEX('Kitting Plan'!$D$5:$D$18,MATCH(B83,'Kitting Plan'!$C$5:$C$18,0)),"Unknown code"))</f>
        <v/>
      </c>
      <c r="D83" s="53" t="str">
        <f aca="false">IF(B83="","",IFERROR(INDEX('Kitting Plan'!$B$5:$B$18,MATCH(B83,'Kitting Plan'!$C$5:$C$18,0)),""))</f>
        <v/>
      </c>
      <c r="E83" s="45"/>
      <c r="F83" s="54" t="str">
        <f aca="false">IF(B83="","",IFERROR(IF(OR(E83="",E83="All"),INDEX('Kitting Plan'!$E$5:$E$18,MATCH(B83,'Kitting Plan'!$C$5:$C$18,0)),INDEX('Kitting Plan'!$H$5:$H$18,MATCH(B83,'Kitting Plan'!$C$5:$C$18,0))),""))</f>
        <v/>
      </c>
      <c r="G83" s="45"/>
      <c r="H83" s="55" t="str">
        <f aca="false">IF(B83="","",IF(G83="",F83,G83))</f>
        <v/>
      </c>
      <c r="I83" s="45"/>
      <c r="J83" s="56"/>
      <c r="K83" s="46"/>
      <c r="L83" s="53" t="str">
        <f aca="false">IF(A83="","",IF(B83="","Missing code",IF(C83="Unknown code","Unknown code",IF(COUNTIF($A$6:$A$505,A83)&gt;1,"Duplicate WO",""))))</f>
        <v/>
      </c>
    </row>
    <row r="84" customFormat="false" ht="15" hidden="false" customHeight="false" outlineLevel="0" collapsed="false">
      <c r="A84" s="46"/>
      <c r="B84" s="46"/>
      <c r="C84" s="53" t="str">
        <f aca="false">IF(B84="","",IFERROR(INDEX('Kitting Plan'!$D$5:$D$18,MATCH(B84,'Kitting Plan'!$C$5:$C$18,0)),"Unknown code"))</f>
        <v/>
      </c>
      <c r="D84" s="53" t="str">
        <f aca="false">IF(B84="","",IFERROR(INDEX('Kitting Plan'!$B$5:$B$18,MATCH(B84,'Kitting Plan'!$C$5:$C$18,0)),""))</f>
        <v/>
      </c>
      <c r="E84" s="45"/>
      <c r="F84" s="54" t="str">
        <f aca="false">IF(B84="","",IFERROR(IF(OR(E84="",E84="All"),INDEX('Kitting Plan'!$E$5:$E$18,MATCH(B84,'Kitting Plan'!$C$5:$C$18,0)),INDEX('Kitting Plan'!$H$5:$H$18,MATCH(B84,'Kitting Plan'!$C$5:$C$18,0))),""))</f>
        <v/>
      </c>
      <c r="G84" s="45"/>
      <c r="H84" s="55" t="str">
        <f aca="false">IF(B84="","",IF(G84="",F84,G84))</f>
        <v/>
      </c>
      <c r="I84" s="45"/>
      <c r="J84" s="56"/>
      <c r="K84" s="46"/>
      <c r="L84" s="53" t="str">
        <f aca="false">IF(A84="","",IF(B84="","Missing code",IF(C84="Unknown code","Unknown code",IF(COUNTIF($A$6:$A$505,A84)&gt;1,"Duplicate WO",""))))</f>
        <v/>
      </c>
    </row>
    <row r="85" customFormat="false" ht="15" hidden="false" customHeight="false" outlineLevel="0" collapsed="false">
      <c r="A85" s="46"/>
      <c r="B85" s="46"/>
      <c r="C85" s="53" t="str">
        <f aca="false">IF(B85="","",IFERROR(INDEX('Kitting Plan'!$D$5:$D$18,MATCH(B85,'Kitting Plan'!$C$5:$C$18,0)),"Unknown code"))</f>
        <v/>
      </c>
      <c r="D85" s="53" t="str">
        <f aca="false">IF(B85="","",IFERROR(INDEX('Kitting Plan'!$B$5:$B$18,MATCH(B85,'Kitting Plan'!$C$5:$C$18,0)),""))</f>
        <v/>
      </c>
      <c r="E85" s="45"/>
      <c r="F85" s="54" t="str">
        <f aca="false">IF(B85="","",IFERROR(IF(OR(E85="",E85="All"),INDEX('Kitting Plan'!$E$5:$E$18,MATCH(B85,'Kitting Plan'!$C$5:$C$18,0)),INDEX('Kitting Plan'!$H$5:$H$18,MATCH(B85,'Kitting Plan'!$C$5:$C$18,0))),""))</f>
        <v/>
      </c>
      <c r="G85" s="45"/>
      <c r="H85" s="55" t="str">
        <f aca="false">IF(B85="","",IF(G85="",F85,G85))</f>
        <v/>
      </c>
      <c r="I85" s="45"/>
      <c r="J85" s="56"/>
      <c r="K85" s="46"/>
      <c r="L85" s="53" t="str">
        <f aca="false">IF(A85="","",IF(B85="","Missing code",IF(C85="Unknown code","Unknown code",IF(COUNTIF($A$6:$A$505,A85)&gt;1,"Duplicate WO",""))))</f>
        <v/>
      </c>
    </row>
    <row r="86" customFormat="false" ht="15" hidden="false" customHeight="false" outlineLevel="0" collapsed="false">
      <c r="A86" s="46"/>
      <c r="B86" s="46"/>
      <c r="C86" s="53" t="str">
        <f aca="false">IF(B86="","",IFERROR(INDEX('Kitting Plan'!$D$5:$D$18,MATCH(B86,'Kitting Plan'!$C$5:$C$18,0)),"Unknown code"))</f>
        <v/>
      </c>
      <c r="D86" s="53" t="str">
        <f aca="false">IF(B86="","",IFERROR(INDEX('Kitting Plan'!$B$5:$B$18,MATCH(B86,'Kitting Plan'!$C$5:$C$18,0)),""))</f>
        <v/>
      </c>
      <c r="E86" s="45"/>
      <c r="F86" s="54" t="str">
        <f aca="false">IF(B86="","",IFERROR(IF(OR(E86="",E86="All"),INDEX('Kitting Plan'!$E$5:$E$18,MATCH(B86,'Kitting Plan'!$C$5:$C$18,0)),INDEX('Kitting Plan'!$H$5:$H$18,MATCH(B86,'Kitting Plan'!$C$5:$C$18,0))),""))</f>
        <v/>
      </c>
      <c r="G86" s="45"/>
      <c r="H86" s="55" t="str">
        <f aca="false">IF(B86="","",IF(G86="",F86,G86))</f>
        <v/>
      </c>
      <c r="I86" s="45"/>
      <c r="J86" s="56"/>
      <c r="K86" s="46"/>
      <c r="L86" s="53" t="str">
        <f aca="false">IF(A86="","",IF(B86="","Missing code",IF(C86="Unknown code","Unknown code",IF(COUNTIF($A$6:$A$505,A86)&gt;1,"Duplicate WO",""))))</f>
        <v/>
      </c>
    </row>
    <row r="87" customFormat="false" ht="15" hidden="false" customHeight="false" outlineLevel="0" collapsed="false">
      <c r="A87" s="46"/>
      <c r="B87" s="46"/>
      <c r="C87" s="53" t="str">
        <f aca="false">IF(B87="","",IFERROR(INDEX('Kitting Plan'!$D$5:$D$18,MATCH(B87,'Kitting Plan'!$C$5:$C$18,0)),"Unknown code"))</f>
        <v/>
      </c>
      <c r="D87" s="53" t="str">
        <f aca="false">IF(B87="","",IFERROR(INDEX('Kitting Plan'!$B$5:$B$18,MATCH(B87,'Kitting Plan'!$C$5:$C$18,0)),""))</f>
        <v/>
      </c>
      <c r="E87" s="45"/>
      <c r="F87" s="54" t="str">
        <f aca="false">IF(B87="","",IFERROR(IF(OR(E87="",E87="All"),INDEX('Kitting Plan'!$E$5:$E$18,MATCH(B87,'Kitting Plan'!$C$5:$C$18,0)),INDEX('Kitting Plan'!$H$5:$H$18,MATCH(B87,'Kitting Plan'!$C$5:$C$18,0))),""))</f>
        <v/>
      </c>
      <c r="G87" s="45"/>
      <c r="H87" s="55" t="str">
        <f aca="false">IF(B87="","",IF(G87="",F87,G87))</f>
        <v/>
      </c>
      <c r="I87" s="45"/>
      <c r="J87" s="56"/>
      <c r="K87" s="46"/>
      <c r="L87" s="53" t="str">
        <f aca="false">IF(A87="","",IF(B87="","Missing code",IF(C87="Unknown code","Unknown code",IF(COUNTIF($A$6:$A$505,A87)&gt;1,"Duplicate WO",""))))</f>
        <v/>
      </c>
    </row>
    <row r="88" customFormat="false" ht="15" hidden="false" customHeight="false" outlineLevel="0" collapsed="false">
      <c r="A88" s="46"/>
      <c r="B88" s="46"/>
      <c r="C88" s="53" t="str">
        <f aca="false">IF(B88="","",IFERROR(INDEX('Kitting Plan'!$D$5:$D$18,MATCH(B88,'Kitting Plan'!$C$5:$C$18,0)),"Unknown code"))</f>
        <v/>
      </c>
      <c r="D88" s="53" t="str">
        <f aca="false">IF(B88="","",IFERROR(INDEX('Kitting Plan'!$B$5:$B$18,MATCH(B88,'Kitting Plan'!$C$5:$C$18,0)),""))</f>
        <v/>
      </c>
      <c r="E88" s="45"/>
      <c r="F88" s="54" t="str">
        <f aca="false">IF(B88="","",IFERROR(IF(OR(E88="",E88="All"),INDEX('Kitting Plan'!$E$5:$E$18,MATCH(B88,'Kitting Plan'!$C$5:$C$18,0)),INDEX('Kitting Plan'!$H$5:$H$18,MATCH(B88,'Kitting Plan'!$C$5:$C$18,0))),""))</f>
        <v/>
      </c>
      <c r="G88" s="45"/>
      <c r="H88" s="55" t="str">
        <f aca="false">IF(B88="","",IF(G88="",F88,G88))</f>
        <v/>
      </c>
      <c r="I88" s="45"/>
      <c r="J88" s="56"/>
      <c r="K88" s="46"/>
      <c r="L88" s="53" t="str">
        <f aca="false">IF(A88="","",IF(B88="","Missing code",IF(C88="Unknown code","Unknown code",IF(COUNTIF($A$6:$A$505,A88)&gt;1,"Duplicate WO",""))))</f>
        <v/>
      </c>
    </row>
    <row r="89" customFormat="false" ht="15" hidden="false" customHeight="false" outlineLevel="0" collapsed="false">
      <c r="A89" s="46"/>
      <c r="B89" s="46"/>
      <c r="C89" s="53" t="str">
        <f aca="false">IF(B89="","",IFERROR(INDEX('Kitting Plan'!$D$5:$D$18,MATCH(B89,'Kitting Plan'!$C$5:$C$18,0)),"Unknown code"))</f>
        <v/>
      </c>
      <c r="D89" s="53" t="str">
        <f aca="false">IF(B89="","",IFERROR(INDEX('Kitting Plan'!$B$5:$B$18,MATCH(B89,'Kitting Plan'!$C$5:$C$18,0)),""))</f>
        <v/>
      </c>
      <c r="E89" s="45"/>
      <c r="F89" s="54" t="str">
        <f aca="false">IF(B89="","",IFERROR(IF(OR(E89="",E89="All"),INDEX('Kitting Plan'!$E$5:$E$18,MATCH(B89,'Kitting Plan'!$C$5:$C$18,0)),INDEX('Kitting Plan'!$H$5:$H$18,MATCH(B89,'Kitting Plan'!$C$5:$C$18,0))),""))</f>
        <v/>
      </c>
      <c r="G89" s="45"/>
      <c r="H89" s="55" t="str">
        <f aca="false">IF(B89="","",IF(G89="",F89,G89))</f>
        <v/>
      </c>
      <c r="I89" s="45"/>
      <c r="J89" s="56"/>
      <c r="K89" s="46"/>
      <c r="L89" s="53" t="str">
        <f aca="false">IF(A89="","",IF(B89="","Missing code",IF(C89="Unknown code","Unknown code",IF(COUNTIF($A$6:$A$505,A89)&gt;1,"Duplicate WO",""))))</f>
        <v/>
      </c>
    </row>
    <row r="90" customFormat="false" ht="15" hidden="false" customHeight="false" outlineLevel="0" collapsed="false">
      <c r="A90" s="46"/>
      <c r="B90" s="46"/>
      <c r="C90" s="53" t="str">
        <f aca="false">IF(B90="","",IFERROR(INDEX('Kitting Plan'!$D$5:$D$18,MATCH(B90,'Kitting Plan'!$C$5:$C$18,0)),"Unknown code"))</f>
        <v/>
      </c>
      <c r="D90" s="53" t="str">
        <f aca="false">IF(B90="","",IFERROR(INDEX('Kitting Plan'!$B$5:$B$18,MATCH(B90,'Kitting Plan'!$C$5:$C$18,0)),""))</f>
        <v/>
      </c>
      <c r="E90" s="45"/>
      <c r="F90" s="54" t="str">
        <f aca="false">IF(B90="","",IFERROR(IF(OR(E90="",E90="All"),INDEX('Kitting Plan'!$E$5:$E$18,MATCH(B90,'Kitting Plan'!$C$5:$C$18,0)),INDEX('Kitting Plan'!$H$5:$H$18,MATCH(B90,'Kitting Plan'!$C$5:$C$18,0))),""))</f>
        <v/>
      </c>
      <c r="G90" s="45"/>
      <c r="H90" s="55" t="str">
        <f aca="false">IF(B90="","",IF(G90="",F90,G90))</f>
        <v/>
      </c>
      <c r="I90" s="45"/>
      <c r="J90" s="56"/>
      <c r="K90" s="46"/>
      <c r="L90" s="53" t="str">
        <f aca="false">IF(A90="","",IF(B90="","Missing code",IF(C90="Unknown code","Unknown code",IF(COUNTIF($A$6:$A$505,A90)&gt;1,"Duplicate WO",""))))</f>
        <v/>
      </c>
    </row>
    <row r="91" customFormat="false" ht="15" hidden="false" customHeight="false" outlineLevel="0" collapsed="false">
      <c r="A91" s="46"/>
      <c r="B91" s="46"/>
      <c r="C91" s="53" t="str">
        <f aca="false">IF(B91="","",IFERROR(INDEX('Kitting Plan'!$D$5:$D$18,MATCH(B91,'Kitting Plan'!$C$5:$C$18,0)),"Unknown code"))</f>
        <v/>
      </c>
      <c r="D91" s="53" t="str">
        <f aca="false">IF(B91="","",IFERROR(INDEX('Kitting Plan'!$B$5:$B$18,MATCH(B91,'Kitting Plan'!$C$5:$C$18,0)),""))</f>
        <v/>
      </c>
      <c r="E91" s="45"/>
      <c r="F91" s="54" t="str">
        <f aca="false">IF(B91="","",IFERROR(IF(OR(E91="",E91="All"),INDEX('Kitting Plan'!$E$5:$E$18,MATCH(B91,'Kitting Plan'!$C$5:$C$18,0)),INDEX('Kitting Plan'!$H$5:$H$18,MATCH(B91,'Kitting Plan'!$C$5:$C$18,0))),""))</f>
        <v/>
      </c>
      <c r="G91" s="45"/>
      <c r="H91" s="55" t="str">
        <f aca="false">IF(B91="","",IF(G91="",F91,G91))</f>
        <v/>
      </c>
      <c r="I91" s="45"/>
      <c r="J91" s="56"/>
      <c r="K91" s="46"/>
      <c r="L91" s="53" t="str">
        <f aca="false">IF(A91="","",IF(B91="","Missing code",IF(C91="Unknown code","Unknown code",IF(COUNTIF($A$6:$A$505,A91)&gt;1,"Duplicate WO",""))))</f>
        <v/>
      </c>
    </row>
    <row r="92" customFormat="false" ht="15" hidden="false" customHeight="false" outlineLevel="0" collapsed="false">
      <c r="A92" s="46"/>
      <c r="B92" s="46"/>
      <c r="C92" s="53" t="str">
        <f aca="false">IF(B92="","",IFERROR(INDEX('Kitting Plan'!$D$5:$D$18,MATCH(B92,'Kitting Plan'!$C$5:$C$18,0)),"Unknown code"))</f>
        <v/>
      </c>
      <c r="D92" s="53" t="str">
        <f aca="false">IF(B92="","",IFERROR(INDEX('Kitting Plan'!$B$5:$B$18,MATCH(B92,'Kitting Plan'!$C$5:$C$18,0)),""))</f>
        <v/>
      </c>
      <c r="E92" s="45"/>
      <c r="F92" s="54" t="str">
        <f aca="false">IF(B92="","",IFERROR(IF(OR(E92="",E92="All"),INDEX('Kitting Plan'!$E$5:$E$18,MATCH(B92,'Kitting Plan'!$C$5:$C$18,0)),INDEX('Kitting Plan'!$H$5:$H$18,MATCH(B92,'Kitting Plan'!$C$5:$C$18,0))),""))</f>
        <v/>
      </c>
      <c r="G92" s="45"/>
      <c r="H92" s="55" t="str">
        <f aca="false">IF(B92="","",IF(G92="",F92,G92))</f>
        <v/>
      </c>
      <c r="I92" s="45"/>
      <c r="J92" s="56"/>
      <c r="K92" s="46"/>
      <c r="L92" s="53" t="str">
        <f aca="false">IF(A92="","",IF(B92="","Missing code",IF(C92="Unknown code","Unknown code",IF(COUNTIF($A$6:$A$505,A92)&gt;1,"Duplicate WO",""))))</f>
        <v/>
      </c>
    </row>
    <row r="93" customFormat="false" ht="15" hidden="false" customHeight="false" outlineLevel="0" collapsed="false">
      <c r="A93" s="46"/>
      <c r="B93" s="46"/>
      <c r="C93" s="53" t="str">
        <f aca="false">IF(B93="","",IFERROR(INDEX('Kitting Plan'!$D$5:$D$18,MATCH(B93,'Kitting Plan'!$C$5:$C$18,0)),"Unknown code"))</f>
        <v/>
      </c>
      <c r="D93" s="53" t="str">
        <f aca="false">IF(B93="","",IFERROR(INDEX('Kitting Plan'!$B$5:$B$18,MATCH(B93,'Kitting Plan'!$C$5:$C$18,0)),""))</f>
        <v/>
      </c>
      <c r="E93" s="45"/>
      <c r="F93" s="54" t="str">
        <f aca="false">IF(B93="","",IFERROR(IF(OR(E93="",E93="All"),INDEX('Kitting Plan'!$E$5:$E$18,MATCH(B93,'Kitting Plan'!$C$5:$C$18,0)),INDEX('Kitting Plan'!$H$5:$H$18,MATCH(B93,'Kitting Plan'!$C$5:$C$18,0))),""))</f>
        <v/>
      </c>
      <c r="G93" s="45"/>
      <c r="H93" s="55" t="str">
        <f aca="false">IF(B93="","",IF(G93="",F93,G93))</f>
        <v/>
      </c>
      <c r="I93" s="45"/>
      <c r="J93" s="56"/>
      <c r="K93" s="46"/>
      <c r="L93" s="53" t="str">
        <f aca="false">IF(A93="","",IF(B93="","Missing code",IF(C93="Unknown code","Unknown code",IF(COUNTIF($A$6:$A$505,A93)&gt;1,"Duplicate WO",""))))</f>
        <v/>
      </c>
    </row>
    <row r="94" customFormat="false" ht="15" hidden="false" customHeight="false" outlineLevel="0" collapsed="false">
      <c r="A94" s="46"/>
      <c r="B94" s="46"/>
      <c r="C94" s="53" t="str">
        <f aca="false">IF(B94="","",IFERROR(INDEX('Kitting Plan'!$D$5:$D$18,MATCH(B94,'Kitting Plan'!$C$5:$C$18,0)),"Unknown code"))</f>
        <v/>
      </c>
      <c r="D94" s="53" t="str">
        <f aca="false">IF(B94="","",IFERROR(INDEX('Kitting Plan'!$B$5:$B$18,MATCH(B94,'Kitting Plan'!$C$5:$C$18,0)),""))</f>
        <v/>
      </c>
      <c r="E94" s="45"/>
      <c r="F94" s="54" t="str">
        <f aca="false">IF(B94="","",IFERROR(IF(OR(E94="",E94="All"),INDEX('Kitting Plan'!$E$5:$E$18,MATCH(B94,'Kitting Plan'!$C$5:$C$18,0)),INDEX('Kitting Plan'!$H$5:$H$18,MATCH(B94,'Kitting Plan'!$C$5:$C$18,0))),""))</f>
        <v/>
      </c>
      <c r="G94" s="45"/>
      <c r="H94" s="55" t="str">
        <f aca="false">IF(B94="","",IF(G94="",F94,G94))</f>
        <v/>
      </c>
      <c r="I94" s="45"/>
      <c r="J94" s="56"/>
      <c r="K94" s="46"/>
      <c r="L94" s="53" t="str">
        <f aca="false">IF(A94="","",IF(B94="","Missing code",IF(C94="Unknown code","Unknown code",IF(COUNTIF($A$6:$A$505,A94)&gt;1,"Duplicate WO",""))))</f>
        <v/>
      </c>
    </row>
    <row r="95" customFormat="false" ht="15" hidden="false" customHeight="false" outlineLevel="0" collapsed="false">
      <c r="A95" s="46"/>
      <c r="B95" s="46"/>
      <c r="C95" s="53" t="str">
        <f aca="false">IF(B95="","",IFERROR(INDEX('Kitting Plan'!$D$5:$D$18,MATCH(B95,'Kitting Plan'!$C$5:$C$18,0)),"Unknown code"))</f>
        <v/>
      </c>
      <c r="D95" s="53" t="str">
        <f aca="false">IF(B95="","",IFERROR(INDEX('Kitting Plan'!$B$5:$B$18,MATCH(B95,'Kitting Plan'!$C$5:$C$18,0)),""))</f>
        <v/>
      </c>
      <c r="E95" s="45"/>
      <c r="F95" s="54" t="str">
        <f aca="false">IF(B95="","",IFERROR(IF(OR(E95="",E95="All"),INDEX('Kitting Plan'!$E$5:$E$18,MATCH(B95,'Kitting Plan'!$C$5:$C$18,0)),INDEX('Kitting Plan'!$H$5:$H$18,MATCH(B95,'Kitting Plan'!$C$5:$C$18,0))),""))</f>
        <v/>
      </c>
      <c r="G95" s="45"/>
      <c r="H95" s="55" t="str">
        <f aca="false">IF(B95="","",IF(G95="",F95,G95))</f>
        <v/>
      </c>
      <c r="I95" s="45"/>
      <c r="J95" s="56"/>
      <c r="K95" s="46"/>
      <c r="L95" s="53" t="str">
        <f aca="false">IF(A95="","",IF(B95="","Missing code",IF(C95="Unknown code","Unknown code",IF(COUNTIF($A$6:$A$505,A95)&gt;1,"Duplicate WO",""))))</f>
        <v/>
      </c>
    </row>
    <row r="96" customFormat="false" ht="15" hidden="false" customHeight="false" outlineLevel="0" collapsed="false">
      <c r="A96" s="46"/>
      <c r="B96" s="46"/>
      <c r="C96" s="53" t="str">
        <f aca="false">IF(B96="","",IFERROR(INDEX('Kitting Plan'!$D$5:$D$18,MATCH(B96,'Kitting Plan'!$C$5:$C$18,0)),"Unknown code"))</f>
        <v/>
      </c>
      <c r="D96" s="53" t="str">
        <f aca="false">IF(B96="","",IFERROR(INDEX('Kitting Plan'!$B$5:$B$18,MATCH(B96,'Kitting Plan'!$C$5:$C$18,0)),""))</f>
        <v/>
      </c>
      <c r="E96" s="45"/>
      <c r="F96" s="54" t="str">
        <f aca="false">IF(B96="","",IFERROR(IF(OR(E96="",E96="All"),INDEX('Kitting Plan'!$E$5:$E$18,MATCH(B96,'Kitting Plan'!$C$5:$C$18,0)),INDEX('Kitting Plan'!$H$5:$H$18,MATCH(B96,'Kitting Plan'!$C$5:$C$18,0))),""))</f>
        <v/>
      </c>
      <c r="G96" s="45"/>
      <c r="H96" s="55" t="str">
        <f aca="false">IF(B96="","",IF(G96="",F96,G96))</f>
        <v/>
      </c>
      <c r="I96" s="45"/>
      <c r="J96" s="56"/>
      <c r="K96" s="46"/>
      <c r="L96" s="53" t="str">
        <f aca="false">IF(A96="","",IF(B96="","Missing code",IF(C96="Unknown code","Unknown code",IF(COUNTIF($A$6:$A$505,A96)&gt;1,"Duplicate WO",""))))</f>
        <v/>
      </c>
    </row>
    <row r="97" customFormat="false" ht="15" hidden="false" customHeight="false" outlineLevel="0" collapsed="false">
      <c r="A97" s="46"/>
      <c r="B97" s="46"/>
      <c r="C97" s="53" t="str">
        <f aca="false">IF(B97="","",IFERROR(INDEX('Kitting Plan'!$D$5:$D$18,MATCH(B97,'Kitting Plan'!$C$5:$C$18,0)),"Unknown code"))</f>
        <v/>
      </c>
      <c r="D97" s="53" t="str">
        <f aca="false">IF(B97="","",IFERROR(INDEX('Kitting Plan'!$B$5:$B$18,MATCH(B97,'Kitting Plan'!$C$5:$C$18,0)),""))</f>
        <v/>
      </c>
      <c r="E97" s="45"/>
      <c r="F97" s="54" t="str">
        <f aca="false">IF(B97="","",IFERROR(IF(OR(E97="",E97="All"),INDEX('Kitting Plan'!$E$5:$E$18,MATCH(B97,'Kitting Plan'!$C$5:$C$18,0)),INDEX('Kitting Plan'!$H$5:$H$18,MATCH(B97,'Kitting Plan'!$C$5:$C$18,0))),""))</f>
        <v/>
      </c>
      <c r="G97" s="45"/>
      <c r="H97" s="55" t="str">
        <f aca="false">IF(B97="","",IF(G97="",F97,G97))</f>
        <v/>
      </c>
      <c r="I97" s="45"/>
      <c r="J97" s="56"/>
      <c r="K97" s="46"/>
      <c r="L97" s="53" t="str">
        <f aca="false">IF(A97="","",IF(B97="","Missing code",IF(C97="Unknown code","Unknown code",IF(COUNTIF($A$6:$A$505,A97)&gt;1,"Duplicate WO",""))))</f>
        <v/>
      </c>
    </row>
    <row r="98" customFormat="false" ht="15" hidden="false" customHeight="false" outlineLevel="0" collapsed="false">
      <c r="A98" s="46"/>
      <c r="B98" s="46"/>
      <c r="C98" s="53" t="str">
        <f aca="false">IF(B98="","",IFERROR(INDEX('Kitting Plan'!$D$5:$D$18,MATCH(B98,'Kitting Plan'!$C$5:$C$18,0)),"Unknown code"))</f>
        <v/>
      </c>
      <c r="D98" s="53" t="str">
        <f aca="false">IF(B98="","",IFERROR(INDEX('Kitting Plan'!$B$5:$B$18,MATCH(B98,'Kitting Plan'!$C$5:$C$18,0)),""))</f>
        <v/>
      </c>
      <c r="E98" s="45"/>
      <c r="F98" s="54" t="str">
        <f aca="false">IF(B98="","",IFERROR(IF(OR(E98="",E98="All"),INDEX('Kitting Plan'!$E$5:$E$18,MATCH(B98,'Kitting Plan'!$C$5:$C$18,0)),INDEX('Kitting Plan'!$H$5:$H$18,MATCH(B98,'Kitting Plan'!$C$5:$C$18,0))),""))</f>
        <v/>
      </c>
      <c r="G98" s="45"/>
      <c r="H98" s="55" t="str">
        <f aca="false">IF(B98="","",IF(G98="",F98,G98))</f>
        <v/>
      </c>
      <c r="I98" s="45"/>
      <c r="J98" s="56"/>
      <c r="K98" s="46"/>
      <c r="L98" s="53" t="str">
        <f aca="false">IF(A98="","",IF(B98="","Missing code",IF(C98="Unknown code","Unknown code",IF(COUNTIF($A$6:$A$505,A98)&gt;1,"Duplicate WO",""))))</f>
        <v/>
      </c>
    </row>
    <row r="99" customFormat="false" ht="15" hidden="false" customHeight="false" outlineLevel="0" collapsed="false">
      <c r="A99" s="46"/>
      <c r="B99" s="46"/>
      <c r="C99" s="53" t="str">
        <f aca="false">IF(B99="","",IFERROR(INDEX('Kitting Plan'!$D$5:$D$18,MATCH(B99,'Kitting Plan'!$C$5:$C$18,0)),"Unknown code"))</f>
        <v/>
      </c>
      <c r="D99" s="53" t="str">
        <f aca="false">IF(B99="","",IFERROR(INDEX('Kitting Plan'!$B$5:$B$18,MATCH(B99,'Kitting Plan'!$C$5:$C$18,0)),""))</f>
        <v/>
      </c>
      <c r="E99" s="45"/>
      <c r="F99" s="54" t="str">
        <f aca="false">IF(B99="","",IFERROR(IF(OR(E99="",E99="All"),INDEX('Kitting Plan'!$E$5:$E$18,MATCH(B99,'Kitting Plan'!$C$5:$C$18,0)),INDEX('Kitting Plan'!$H$5:$H$18,MATCH(B99,'Kitting Plan'!$C$5:$C$18,0))),""))</f>
        <v/>
      </c>
      <c r="G99" s="45"/>
      <c r="H99" s="55" t="str">
        <f aca="false">IF(B99="","",IF(G99="",F99,G99))</f>
        <v/>
      </c>
      <c r="I99" s="45"/>
      <c r="J99" s="56"/>
      <c r="K99" s="46"/>
      <c r="L99" s="53" t="str">
        <f aca="false">IF(A99="","",IF(B99="","Missing code",IF(C99="Unknown code","Unknown code",IF(COUNTIF($A$6:$A$505,A99)&gt;1,"Duplicate WO",""))))</f>
        <v/>
      </c>
    </row>
    <row r="100" customFormat="false" ht="15" hidden="false" customHeight="false" outlineLevel="0" collapsed="false">
      <c r="A100" s="46"/>
      <c r="B100" s="46"/>
      <c r="C100" s="53" t="str">
        <f aca="false">IF(B100="","",IFERROR(INDEX('Kitting Plan'!$D$5:$D$18,MATCH(B100,'Kitting Plan'!$C$5:$C$18,0)),"Unknown code"))</f>
        <v/>
      </c>
      <c r="D100" s="53" t="str">
        <f aca="false">IF(B100="","",IFERROR(INDEX('Kitting Plan'!$B$5:$B$18,MATCH(B100,'Kitting Plan'!$C$5:$C$18,0)),""))</f>
        <v/>
      </c>
      <c r="E100" s="45"/>
      <c r="F100" s="54" t="str">
        <f aca="false">IF(B100="","",IFERROR(IF(OR(E100="",E100="All"),INDEX('Kitting Plan'!$E$5:$E$18,MATCH(B100,'Kitting Plan'!$C$5:$C$18,0)),INDEX('Kitting Plan'!$H$5:$H$18,MATCH(B100,'Kitting Plan'!$C$5:$C$18,0))),""))</f>
        <v/>
      </c>
      <c r="G100" s="45"/>
      <c r="H100" s="55" t="str">
        <f aca="false">IF(B100="","",IF(G100="",F100,G100))</f>
        <v/>
      </c>
      <c r="I100" s="45"/>
      <c r="J100" s="56"/>
      <c r="K100" s="46"/>
      <c r="L100" s="53" t="str">
        <f aca="false">IF(A100="","",IF(B100="","Missing code",IF(C100="Unknown code","Unknown code",IF(COUNTIF($A$6:$A$505,A100)&gt;1,"Duplicate WO",""))))</f>
        <v/>
      </c>
    </row>
    <row r="101" customFormat="false" ht="15" hidden="false" customHeight="false" outlineLevel="0" collapsed="false">
      <c r="A101" s="46"/>
      <c r="B101" s="46"/>
      <c r="C101" s="53" t="str">
        <f aca="false">IF(B101="","",IFERROR(INDEX('Kitting Plan'!$D$5:$D$18,MATCH(B101,'Kitting Plan'!$C$5:$C$18,0)),"Unknown code"))</f>
        <v/>
      </c>
      <c r="D101" s="53" t="str">
        <f aca="false">IF(B101="","",IFERROR(INDEX('Kitting Plan'!$B$5:$B$18,MATCH(B101,'Kitting Plan'!$C$5:$C$18,0)),""))</f>
        <v/>
      </c>
      <c r="E101" s="45"/>
      <c r="F101" s="54" t="str">
        <f aca="false">IF(B101="","",IFERROR(IF(OR(E101="",E101="All"),INDEX('Kitting Plan'!$E$5:$E$18,MATCH(B101,'Kitting Plan'!$C$5:$C$18,0)),INDEX('Kitting Plan'!$H$5:$H$18,MATCH(B101,'Kitting Plan'!$C$5:$C$18,0))),""))</f>
        <v/>
      </c>
      <c r="G101" s="45"/>
      <c r="H101" s="55" t="str">
        <f aca="false">IF(B101="","",IF(G101="",F101,G101))</f>
        <v/>
      </c>
      <c r="I101" s="45"/>
      <c r="J101" s="56"/>
      <c r="K101" s="46"/>
      <c r="L101" s="53" t="str">
        <f aca="false">IF(A101="","",IF(B101="","Missing code",IF(C101="Unknown code","Unknown code",IF(COUNTIF($A$6:$A$505,A101)&gt;1,"Duplicate WO",""))))</f>
        <v/>
      </c>
    </row>
    <row r="102" customFormat="false" ht="15" hidden="false" customHeight="false" outlineLevel="0" collapsed="false">
      <c r="A102" s="46"/>
      <c r="B102" s="46"/>
      <c r="C102" s="53" t="str">
        <f aca="false">IF(B102="","",IFERROR(INDEX('Kitting Plan'!$D$5:$D$18,MATCH(B102,'Kitting Plan'!$C$5:$C$18,0)),"Unknown code"))</f>
        <v/>
      </c>
      <c r="D102" s="53" t="str">
        <f aca="false">IF(B102="","",IFERROR(INDEX('Kitting Plan'!$B$5:$B$18,MATCH(B102,'Kitting Plan'!$C$5:$C$18,0)),""))</f>
        <v/>
      </c>
      <c r="E102" s="45"/>
      <c r="F102" s="54" t="str">
        <f aca="false">IF(B102="","",IFERROR(IF(OR(E102="",E102="All"),INDEX('Kitting Plan'!$E$5:$E$18,MATCH(B102,'Kitting Plan'!$C$5:$C$18,0)),INDEX('Kitting Plan'!$H$5:$H$18,MATCH(B102,'Kitting Plan'!$C$5:$C$18,0))),""))</f>
        <v/>
      </c>
      <c r="G102" s="45"/>
      <c r="H102" s="55" t="str">
        <f aca="false">IF(B102="","",IF(G102="",F102,G102))</f>
        <v/>
      </c>
      <c r="I102" s="45"/>
      <c r="J102" s="56"/>
      <c r="K102" s="46"/>
      <c r="L102" s="53" t="str">
        <f aca="false">IF(A102="","",IF(B102="","Missing code",IF(C102="Unknown code","Unknown code",IF(COUNTIF($A$6:$A$505,A102)&gt;1,"Duplicate WO",""))))</f>
        <v/>
      </c>
    </row>
    <row r="103" customFormat="false" ht="15" hidden="false" customHeight="false" outlineLevel="0" collapsed="false">
      <c r="A103" s="46"/>
      <c r="B103" s="46"/>
      <c r="C103" s="53" t="str">
        <f aca="false">IF(B103="","",IFERROR(INDEX('Kitting Plan'!$D$5:$D$18,MATCH(B103,'Kitting Plan'!$C$5:$C$18,0)),"Unknown code"))</f>
        <v/>
      </c>
      <c r="D103" s="53" t="str">
        <f aca="false">IF(B103="","",IFERROR(INDEX('Kitting Plan'!$B$5:$B$18,MATCH(B103,'Kitting Plan'!$C$5:$C$18,0)),""))</f>
        <v/>
      </c>
      <c r="E103" s="45"/>
      <c r="F103" s="54" t="str">
        <f aca="false">IF(B103="","",IFERROR(IF(OR(E103="",E103="All"),INDEX('Kitting Plan'!$E$5:$E$18,MATCH(B103,'Kitting Plan'!$C$5:$C$18,0)),INDEX('Kitting Plan'!$H$5:$H$18,MATCH(B103,'Kitting Plan'!$C$5:$C$18,0))),""))</f>
        <v/>
      </c>
      <c r="G103" s="45"/>
      <c r="H103" s="55" t="str">
        <f aca="false">IF(B103="","",IF(G103="",F103,G103))</f>
        <v/>
      </c>
      <c r="I103" s="45"/>
      <c r="J103" s="56"/>
      <c r="K103" s="46"/>
      <c r="L103" s="53" t="str">
        <f aca="false">IF(A103="","",IF(B103="","Missing code",IF(C103="Unknown code","Unknown code",IF(COUNTIF($A$6:$A$505,A103)&gt;1,"Duplicate WO",""))))</f>
        <v/>
      </c>
    </row>
    <row r="104" customFormat="false" ht="15" hidden="false" customHeight="false" outlineLevel="0" collapsed="false">
      <c r="A104" s="46"/>
      <c r="B104" s="46"/>
      <c r="C104" s="53" t="str">
        <f aca="false">IF(B104="","",IFERROR(INDEX('Kitting Plan'!$D$5:$D$18,MATCH(B104,'Kitting Plan'!$C$5:$C$18,0)),"Unknown code"))</f>
        <v/>
      </c>
      <c r="D104" s="53" t="str">
        <f aca="false">IF(B104="","",IFERROR(INDEX('Kitting Plan'!$B$5:$B$18,MATCH(B104,'Kitting Plan'!$C$5:$C$18,0)),""))</f>
        <v/>
      </c>
      <c r="E104" s="45"/>
      <c r="F104" s="54" t="str">
        <f aca="false">IF(B104="","",IFERROR(IF(OR(E104="",E104="All"),INDEX('Kitting Plan'!$E$5:$E$18,MATCH(B104,'Kitting Plan'!$C$5:$C$18,0)),INDEX('Kitting Plan'!$H$5:$H$18,MATCH(B104,'Kitting Plan'!$C$5:$C$18,0))),""))</f>
        <v/>
      </c>
      <c r="G104" s="45"/>
      <c r="H104" s="55" t="str">
        <f aca="false">IF(B104="","",IF(G104="",F104,G104))</f>
        <v/>
      </c>
      <c r="I104" s="45"/>
      <c r="J104" s="56"/>
      <c r="K104" s="46"/>
      <c r="L104" s="53" t="str">
        <f aca="false">IF(A104="","",IF(B104="","Missing code",IF(C104="Unknown code","Unknown code",IF(COUNTIF($A$6:$A$505,A104)&gt;1,"Duplicate WO",""))))</f>
        <v/>
      </c>
    </row>
    <row r="105" customFormat="false" ht="15" hidden="false" customHeight="false" outlineLevel="0" collapsed="false">
      <c r="A105" s="46"/>
      <c r="B105" s="46"/>
      <c r="C105" s="53" t="str">
        <f aca="false">IF(B105="","",IFERROR(INDEX('Kitting Plan'!$D$5:$D$18,MATCH(B105,'Kitting Plan'!$C$5:$C$18,0)),"Unknown code"))</f>
        <v/>
      </c>
      <c r="D105" s="53" t="str">
        <f aca="false">IF(B105="","",IFERROR(INDEX('Kitting Plan'!$B$5:$B$18,MATCH(B105,'Kitting Plan'!$C$5:$C$18,0)),""))</f>
        <v/>
      </c>
      <c r="E105" s="45"/>
      <c r="F105" s="54" t="str">
        <f aca="false">IF(B105="","",IFERROR(IF(OR(E105="",E105="All"),INDEX('Kitting Plan'!$E$5:$E$18,MATCH(B105,'Kitting Plan'!$C$5:$C$18,0)),INDEX('Kitting Plan'!$H$5:$H$18,MATCH(B105,'Kitting Plan'!$C$5:$C$18,0))),""))</f>
        <v/>
      </c>
      <c r="G105" s="45"/>
      <c r="H105" s="55" t="str">
        <f aca="false">IF(B105="","",IF(G105="",F105,G105))</f>
        <v/>
      </c>
      <c r="I105" s="45"/>
      <c r="J105" s="56"/>
      <c r="K105" s="46"/>
      <c r="L105" s="53" t="str">
        <f aca="false">IF(A105="","",IF(B105="","Missing code",IF(C105="Unknown code","Unknown code",IF(COUNTIF($A$6:$A$505,A105)&gt;1,"Duplicate WO",""))))</f>
        <v/>
      </c>
    </row>
    <row r="106" customFormat="false" ht="15" hidden="false" customHeight="false" outlineLevel="0" collapsed="false">
      <c r="A106" s="46"/>
      <c r="B106" s="46"/>
      <c r="C106" s="53" t="str">
        <f aca="false">IF(B106="","",IFERROR(INDEX('Kitting Plan'!$D$5:$D$18,MATCH(B106,'Kitting Plan'!$C$5:$C$18,0)),"Unknown code"))</f>
        <v/>
      </c>
      <c r="D106" s="53" t="str">
        <f aca="false">IF(B106="","",IFERROR(INDEX('Kitting Plan'!$B$5:$B$18,MATCH(B106,'Kitting Plan'!$C$5:$C$18,0)),""))</f>
        <v/>
      </c>
      <c r="E106" s="45"/>
      <c r="F106" s="54" t="str">
        <f aca="false">IF(B106="","",IFERROR(IF(OR(E106="",E106="All"),INDEX('Kitting Plan'!$E$5:$E$18,MATCH(B106,'Kitting Plan'!$C$5:$C$18,0)),INDEX('Kitting Plan'!$H$5:$H$18,MATCH(B106,'Kitting Plan'!$C$5:$C$18,0))),""))</f>
        <v/>
      </c>
      <c r="G106" s="45"/>
      <c r="H106" s="55" t="str">
        <f aca="false">IF(B106="","",IF(G106="",F106,G106))</f>
        <v/>
      </c>
      <c r="I106" s="45"/>
      <c r="J106" s="56"/>
      <c r="K106" s="46"/>
      <c r="L106" s="53" t="str">
        <f aca="false">IF(A106="","",IF(B106="","Missing code",IF(C106="Unknown code","Unknown code",IF(COUNTIF($A$6:$A$505,A106)&gt;1,"Duplicate WO",""))))</f>
        <v/>
      </c>
    </row>
    <row r="107" customFormat="false" ht="15" hidden="false" customHeight="false" outlineLevel="0" collapsed="false">
      <c r="A107" s="46"/>
      <c r="B107" s="46"/>
      <c r="C107" s="53" t="str">
        <f aca="false">IF(B107="","",IFERROR(INDEX('Kitting Plan'!$D$5:$D$18,MATCH(B107,'Kitting Plan'!$C$5:$C$18,0)),"Unknown code"))</f>
        <v/>
      </c>
      <c r="D107" s="53" t="str">
        <f aca="false">IF(B107="","",IFERROR(INDEX('Kitting Plan'!$B$5:$B$18,MATCH(B107,'Kitting Plan'!$C$5:$C$18,0)),""))</f>
        <v/>
      </c>
      <c r="E107" s="45"/>
      <c r="F107" s="54" t="str">
        <f aca="false">IF(B107="","",IFERROR(IF(OR(E107="",E107="All"),INDEX('Kitting Plan'!$E$5:$E$18,MATCH(B107,'Kitting Plan'!$C$5:$C$18,0)),INDEX('Kitting Plan'!$H$5:$H$18,MATCH(B107,'Kitting Plan'!$C$5:$C$18,0))),""))</f>
        <v/>
      </c>
      <c r="G107" s="45"/>
      <c r="H107" s="55" t="str">
        <f aca="false">IF(B107="","",IF(G107="",F107,G107))</f>
        <v/>
      </c>
      <c r="I107" s="45"/>
      <c r="J107" s="56"/>
      <c r="K107" s="46"/>
      <c r="L107" s="53" t="str">
        <f aca="false">IF(A107="","",IF(B107="","Missing code",IF(C107="Unknown code","Unknown code",IF(COUNTIF($A$6:$A$505,A107)&gt;1,"Duplicate WO",""))))</f>
        <v/>
      </c>
    </row>
    <row r="108" customFormat="false" ht="15" hidden="false" customHeight="false" outlineLevel="0" collapsed="false">
      <c r="A108" s="46"/>
      <c r="B108" s="46"/>
      <c r="C108" s="53" t="str">
        <f aca="false">IF(B108="","",IFERROR(INDEX('Kitting Plan'!$D$5:$D$18,MATCH(B108,'Kitting Plan'!$C$5:$C$18,0)),"Unknown code"))</f>
        <v/>
      </c>
      <c r="D108" s="53" t="str">
        <f aca="false">IF(B108="","",IFERROR(INDEX('Kitting Plan'!$B$5:$B$18,MATCH(B108,'Kitting Plan'!$C$5:$C$18,0)),""))</f>
        <v/>
      </c>
      <c r="E108" s="45"/>
      <c r="F108" s="54" t="str">
        <f aca="false">IF(B108="","",IFERROR(IF(OR(E108="",E108="All"),INDEX('Kitting Plan'!$E$5:$E$18,MATCH(B108,'Kitting Plan'!$C$5:$C$18,0)),INDEX('Kitting Plan'!$H$5:$H$18,MATCH(B108,'Kitting Plan'!$C$5:$C$18,0))),""))</f>
        <v/>
      </c>
      <c r="G108" s="45"/>
      <c r="H108" s="55" t="str">
        <f aca="false">IF(B108="","",IF(G108="",F108,G108))</f>
        <v/>
      </c>
      <c r="I108" s="45"/>
      <c r="J108" s="56"/>
      <c r="K108" s="46"/>
      <c r="L108" s="53" t="str">
        <f aca="false">IF(A108="","",IF(B108="","Missing code",IF(C108="Unknown code","Unknown code",IF(COUNTIF($A$6:$A$505,A108)&gt;1,"Duplicate WO",""))))</f>
        <v/>
      </c>
    </row>
    <row r="109" customFormat="false" ht="15" hidden="false" customHeight="false" outlineLevel="0" collapsed="false">
      <c r="A109" s="46"/>
      <c r="B109" s="46"/>
      <c r="C109" s="53" t="str">
        <f aca="false">IF(B109="","",IFERROR(INDEX('Kitting Plan'!$D$5:$D$18,MATCH(B109,'Kitting Plan'!$C$5:$C$18,0)),"Unknown code"))</f>
        <v/>
      </c>
      <c r="D109" s="53" t="str">
        <f aca="false">IF(B109="","",IFERROR(INDEX('Kitting Plan'!$B$5:$B$18,MATCH(B109,'Kitting Plan'!$C$5:$C$18,0)),""))</f>
        <v/>
      </c>
      <c r="E109" s="45"/>
      <c r="F109" s="54" t="str">
        <f aca="false">IF(B109="","",IFERROR(IF(OR(E109="",E109="All"),INDEX('Kitting Plan'!$E$5:$E$18,MATCH(B109,'Kitting Plan'!$C$5:$C$18,0)),INDEX('Kitting Plan'!$H$5:$H$18,MATCH(B109,'Kitting Plan'!$C$5:$C$18,0))),""))</f>
        <v/>
      </c>
      <c r="G109" s="45"/>
      <c r="H109" s="55" t="str">
        <f aca="false">IF(B109="","",IF(G109="",F109,G109))</f>
        <v/>
      </c>
      <c r="I109" s="45"/>
      <c r="J109" s="56"/>
      <c r="K109" s="46"/>
      <c r="L109" s="53" t="str">
        <f aca="false">IF(A109="","",IF(B109="","Missing code",IF(C109="Unknown code","Unknown code",IF(COUNTIF($A$6:$A$505,A109)&gt;1,"Duplicate WO",""))))</f>
        <v/>
      </c>
    </row>
    <row r="110" customFormat="false" ht="15" hidden="false" customHeight="false" outlineLevel="0" collapsed="false">
      <c r="A110" s="46"/>
      <c r="B110" s="46"/>
      <c r="C110" s="53" t="str">
        <f aca="false">IF(B110="","",IFERROR(INDEX('Kitting Plan'!$D$5:$D$18,MATCH(B110,'Kitting Plan'!$C$5:$C$18,0)),"Unknown code"))</f>
        <v/>
      </c>
      <c r="D110" s="53" t="str">
        <f aca="false">IF(B110="","",IFERROR(INDEX('Kitting Plan'!$B$5:$B$18,MATCH(B110,'Kitting Plan'!$C$5:$C$18,0)),""))</f>
        <v/>
      </c>
      <c r="E110" s="45"/>
      <c r="F110" s="54" t="str">
        <f aca="false">IF(B110="","",IFERROR(IF(OR(E110="",E110="All"),INDEX('Kitting Plan'!$E$5:$E$18,MATCH(B110,'Kitting Plan'!$C$5:$C$18,0)),INDEX('Kitting Plan'!$H$5:$H$18,MATCH(B110,'Kitting Plan'!$C$5:$C$18,0))),""))</f>
        <v/>
      </c>
      <c r="G110" s="45"/>
      <c r="H110" s="55" t="str">
        <f aca="false">IF(B110="","",IF(G110="",F110,G110))</f>
        <v/>
      </c>
      <c r="I110" s="45"/>
      <c r="J110" s="56"/>
      <c r="K110" s="46"/>
      <c r="L110" s="53" t="str">
        <f aca="false">IF(A110="","",IF(B110="","Missing code",IF(C110="Unknown code","Unknown code",IF(COUNTIF($A$6:$A$505,A110)&gt;1,"Duplicate WO",""))))</f>
        <v/>
      </c>
    </row>
    <row r="111" customFormat="false" ht="15" hidden="false" customHeight="false" outlineLevel="0" collapsed="false">
      <c r="A111" s="46"/>
      <c r="B111" s="46"/>
      <c r="C111" s="53" t="str">
        <f aca="false">IF(B111="","",IFERROR(INDEX('Kitting Plan'!$D$5:$D$18,MATCH(B111,'Kitting Plan'!$C$5:$C$18,0)),"Unknown code"))</f>
        <v/>
      </c>
      <c r="D111" s="53" t="str">
        <f aca="false">IF(B111="","",IFERROR(INDEX('Kitting Plan'!$B$5:$B$18,MATCH(B111,'Kitting Plan'!$C$5:$C$18,0)),""))</f>
        <v/>
      </c>
      <c r="E111" s="45"/>
      <c r="F111" s="54" t="str">
        <f aca="false">IF(B111="","",IFERROR(IF(OR(E111="",E111="All"),INDEX('Kitting Plan'!$E$5:$E$18,MATCH(B111,'Kitting Plan'!$C$5:$C$18,0)),INDEX('Kitting Plan'!$H$5:$H$18,MATCH(B111,'Kitting Plan'!$C$5:$C$18,0))),""))</f>
        <v/>
      </c>
      <c r="G111" s="45"/>
      <c r="H111" s="55" t="str">
        <f aca="false">IF(B111="","",IF(G111="",F111,G111))</f>
        <v/>
      </c>
      <c r="I111" s="45"/>
      <c r="J111" s="56"/>
      <c r="K111" s="46"/>
      <c r="L111" s="53" t="str">
        <f aca="false">IF(A111="","",IF(B111="","Missing code",IF(C111="Unknown code","Unknown code",IF(COUNTIF($A$6:$A$505,A111)&gt;1,"Duplicate WO",""))))</f>
        <v/>
      </c>
    </row>
    <row r="112" customFormat="false" ht="15" hidden="false" customHeight="false" outlineLevel="0" collapsed="false">
      <c r="A112" s="46"/>
      <c r="B112" s="46"/>
      <c r="C112" s="53" t="str">
        <f aca="false">IF(B112="","",IFERROR(INDEX('Kitting Plan'!$D$5:$D$18,MATCH(B112,'Kitting Plan'!$C$5:$C$18,0)),"Unknown code"))</f>
        <v/>
      </c>
      <c r="D112" s="53" t="str">
        <f aca="false">IF(B112="","",IFERROR(INDEX('Kitting Plan'!$B$5:$B$18,MATCH(B112,'Kitting Plan'!$C$5:$C$18,0)),""))</f>
        <v/>
      </c>
      <c r="E112" s="45"/>
      <c r="F112" s="54" t="str">
        <f aca="false">IF(B112="","",IFERROR(IF(OR(E112="",E112="All"),INDEX('Kitting Plan'!$E$5:$E$18,MATCH(B112,'Kitting Plan'!$C$5:$C$18,0)),INDEX('Kitting Plan'!$H$5:$H$18,MATCH(B112,'Kitting Plan'!$C$5:$C$18,0))),""))</f>
        <v/>
      </c>
      <c r="G112" s="45"/>
      <c r="H112" s="55" t="str">
        <f aca="false">IF(B112="","",IF(G112="",F112,G112))</f>
        <v/>
      </c>
      <c r="I112" s="45"/>
      <c r="J112" s="56"/>
      <c r="K112" s="46"/>
      <c r="L112" s="53" t="str">
        <f aca="false">IF(A112="","",IF(B112="","Missing code",IF(C112="Unknown code","Unknown code",IF(COUNTIF($A$6:$A$505,A112)&gt;1,"Duplicate WO",""))))</f>
        <v/>
      </c>
    </row>
    <row r="113" customFormat="false" ht="15" hidden="false" customHeight="false" outlineLevel="0" collapsed="false">
      <c r="A113" s="46"/>
      <c r="B113" s="46"/>
      <c r="C113" s="53" t="str">
        <f aca="false">IF(B113="","",IFERROR(INDEX('Kitting Plan'!$D$5:$D$18,MATCH(B113,'Kitting Plan'!$C$5:$C$18,0)),"Unknown code"))</f>
        <v/>
      </c>
      <c r="D113" s="53" t="str">
        <f aca="false">IF(B113="","",IFERROR(INDEX('Kitting Plan'!$B$5:$B$18,MATCH(B113,'Kitting Plan'!$C$5:$C$18,0)),""))</f>
        <v/>
      </c>
      <c r="E113" s="45"/>
      <c r="F113" s="54" t="str">
        <f aca="false">IF(B113="","",IFERROR(IF(OR(E113="",E113="All"),INDEX('Kitting Plan'!$E$5:$E$18,MATCH(B113,'Kitting Plan'!$C$5:$C$18,0)),INDEX('Kitting Plan'!$H$5:$H$18,MATCH(B113,'Kitting Plan'!$C$5:$C$18,0))),""))</f>
        <v/>
      </c>
      <c r="G113" s="45"/>
      <c r="H113" s="55" t="str">
        <f aca="false">IF(B113="","",IF(G113="",F113,G113))</f>
        <v/>
      </c>
      <c r="I113" s="45"/>
      <c r="J113" s="56"/>
      <c r="K113" s="46"/>
      <c r="L113" s="53" t="str">
        <f aca="false">IF(A113="","",IF(B113="","Missing code",IF(C113="Unknown code","Unknown code",IF(COUNTIF($A$6:$A$505,A113)&gt;1,"Duplicate WO",""))))</f>
        <v/>
      </c>
    </row>
    <row r="114" customFormat="false" ht="15" hidden="false" customHeight="false" outlineLevel="0" collapsed="false">
      <c r="A114" s="46"/>
      <c r="B114" s="46"/>
      <c r="C114" s="53" t="str">
        <f aca="false">IF(B114="","",IFERROR(INDEX('Kitting Plan'!$D$5:$D$18,MATCH(B114,'Kitting Plan'!$C$5:$C$18,0)),"Unknown code"))</f>
        <v/>
      </c>
      <c r="D114" s="53" t="str">
        <f aca="false">IF(B114="","",IFERROR(INDEX('Kitting Plan'!$B$5:$B$18,MATCH(B114,'Kitting Plan'!$C$5:$C$18,0)),""))</f>
        <v/>
      </c>
      <c r="E114" s="45"/>
      <c r="F114" s="54" t="str">
        <f aca="false">IF(B114="","",IFERROR(IF(OR(E114="",E114="All"),INDEX('Kitting Plan'!$E$5:$E$18,MATCH(B114,'Kitting Plan'!$C$5:$C$18,0)),INDEX('Kitting Plan'!$H$5:$H$18,MATCH(B114,'Kitting Plan'!$C$5:$C$18,0))),""))</f>
        <v/>
      </c>
      <c r="G114" s="45"/>
      <c r="H114" s="55" t="str">
        <f aca="false">IF(B114="","",IF(G114="",F114,G114))</f>
        <v/>
      </c>
      <c r="I114" s="45"/>
      <c r="J114" s="56"/>
      <c r="K114" s="46"/>
      <c r="L114" s="53" t="str">
        <f aca="false">IF(A114="","",IF(B114="","Missing code",IF(C114="Unknown code","Unknown code",IF(COUNTIF($A$6:$A$505,A114)&gt;1,"Duplicate WO",""))))</f>
        <v/>
      </c>
    </row>
    <row r="115" customFormat="false" ht="15" hidden="false" customHeight="false" outlineLevel="0" collapsed="false">
      <c r="A115" s="46"/>
      <c r="B115" s="46"/>
      <c r="C115" s="53" t="str">
        <f aca="false">IF(B115="","",IFERROR(INDEX('Kitting Plan'!$D$5:$D$18,MATCH(B115,'Kitting Plan'!$C$5:$C$18,0)),"Unknown code"))</f>
        <v/>
      </c>
      <c r="D115" s="53" t="str">
        <f aca="false">IF(B115="","",IFERROR(INDEX('Kitting Plan'!$B$5:$B$18,MATCH(B115,'Kitting Plan'!$C$5:$C$18,0)),""))</f>
        <v/>
      </c>
      <c r="E115" s="45"/>
      <c r="F115" s="54" t="str">
        <f aca="false">IF(B115="","",IFERROR(IF(OR(E115="",E115="All"),INDEX('Kitting Plan'!$E$5:$E$18,MATCH(B115,'Kitting Plan'!$C$5:$C$18,0)),INDEX('Kitting Plan'!$H$5:$H$18,MATCH(B115,'Kitting Plan'!$C$5:$C$18,0))),""))</f>
        <v/>
      </c>
      <c r="G115" s="45"/>
      <c r="H115" s="55" t="str">
        <f aca="false">IF(B115="","",IF(G115="",F115,G115))</f>
        <v/>
      </c>
      <c r="I115" s="45"/>
      <c r="J115" s="56"/>
      <c r="K115" s="46"/>
      <c r="L115" s="53" t="str">
        <f aca="false">IF(A115="","",IF(B115="","Missing code",IF(C115="Unknown code","Unknown code",IF(COUNTIF($A$6:$A$505,A115)&gt;1,"Duplicate WO",""))))</f>
        <v/>
      </c>
    </row>
    <row r="116" customFormat="false" ht="15" hidden="false" customHeight="false" outlineLevel="0" collapsed="false">
      <c r="A116" s="46"/>
      <c r="B116" s="46"/>
      <c r="C116" s="53" t="str">
        <f aca="false">IF(B116="","",IFERROR(INDEX('Kitting Plan'!$D$5:$D$18,MATCH(B116,'Kitting Plan'!$C$5:$C$18,0)),"Unknown code"))</f>
        <v/>
      </c>
      <c r="D116" s="53" t="str">
        <f aca="false">IF(B116="","",IFERROR(INDEX('Kitting Plan'!$B$5:$B$18,MATCH(B116,'Kitting Plan'!$C$5:$C$18,0)),""))</f>
        <v/>
      </c>
      <c r="E116" s="45"/>
      <c r="F116" s="54" t="str">
        <f aca="false">IF(B116="","",IFERROR(IF(OR(E116="",E116="All"),INDEX('Kitting Plan'!$E$5:$E$18,MATCH(B116,'Kitting Plan'!$C$5:$C$18,0)),INDEX('Kitting Plan'!$H$5:$H$18,MATCH(B116,'Kitting Plan'!$C$5:$C$18,0))),""))</f>
        <v/>
      </c>
      <c r="G116" s="45"/>
      <c r="H116" s="55" t="str">
        <f aca="false">IF(B116="","",IF(G116="",F116,G116))</f>
        <v/>
      </c>
      <c r="I116" s="45"/>
      <c r="J116" s="56"/>
      <c r="K116" s="46"/>
      <c r="L116" s="53" t="str">
        <f aca="false">IF(A116="","",IF(B116="","Missing code",IF(C116="Unknown code","Unknown code",IF(COUNTIF($A$6:$A$505,A116)&gt;1,"Duplicate WO",""))))</f>
        <v/>
      </c>
    </row>
    <row r="117" customFormat="false" ht="15" hidden="false" customHeight="false" outlineLevel="0" collapsed="false">
      <c r="A117" s="46"/>
      <c r="B117" s="46"/>
      <c r="C117" s="53" t="str">
        <f aca="false">IF(B117="","",IFERROR(INDEX('Kitting Plan'!$D$5:$D$18,MATCH(B117,'Kitting Plan'!$C$5:$C$18,0)),"Unknown code"))</f>
        <v/>
      </c>
      <c r="D117" s="53" t="str">
        <f aca="false">IF(B117="","",IFERROR(INDEX('Kitting Plan'!$B$5:$B$18,MATCH(B117,'Kitting Plan'!$C$5:$C$18,0)),""))</f>
        <v/>
      </c>
      <c r="E117" s="45"/>
      <c r="F117" s="54" t="str">
        <f aca="false">IF(B117="","",IFERROR(IF(OR(E117="",E117="All"),INDEX('Kitting Plan'!$E$5:$E$18,MATCH(B117,'Kitting Plan'!$C$5:$C$18,0)),INDEX('Kitting Plan'!$H$5:$H$18,MATCH(B117,'Kitting Plan'!$C$5:$C$18,0))),""))</f>
        <v/>
      </c>
      <c r="G117" s="45"/>
      <c r="H117" s="55" t="str">
        <f aca="false">IF(B117="","",IF(G117="",F117,G117))</f>
        <v/>
      </c>
      <c r="I117" s="45"/>
      <c r="J117" s="56"/>
      <c r="K117" s="46"/>
      <c r="L117" s="53" t="str">
        <f aca="false">IF(A117="","",IF(B117="","Missing code",IF(C117="Unknown code","Unknown code",IF(COUNTIF($A$6:$A$505,A117)&gt;1,"Duplicate WO",""))))</f>
        <v/>
      </c>
    </row>
    <row r="118" customFormat="false" ht="15" hidden="false" customHeight="false" outlineLevel="0" collapsed="false">
      <c r="A118" s="46"/>
      <c r="B118" s="46"/>
      <c r="C118" s="53" t="str">
        <f aca="false">IF(B118="","",IFERROR(INDEX('Kitting Plan'!$D$5:$D$18,MATCH(B118,'Kitting Plan'!$C$5:$C$18,0)),"Unknown code"))</f>
        <v/>
      </c>
      <c r="D118" s="53" t="str">
        <f aca="false">IF(B118="","",IFERROR(INDEX('Kitting Plan'!$B$5:$B$18,MATCH(B118,'Kitting Plan'!$C$5:$C$18,0)),""))</f>
        <v/>
      </c>
      <c r="E118" s="45"/>
      <c r="F118" s="54" t="str">
        <f aca="false">IF(B118="","",IFERROR(IF(OR(E118="",E118="All"),INDEX('Kitting Plan'!$E$5:$E$18,MATCH(B118,'Kitting Plan'!$C$5:$C$18,0)),INDEX('Kitting Plan'!$H$5:$H$18,MATCH(B118,'Kitting Plan'!$C$5:$C$18,0))),""))</f>
        <v/>
      </c>
      <c r="G118" s="45"/>
      <c r="H118" s="55" t="str">
        <f aca="false">IF(B118="","",IF(G118="",F118,G118))</f>
        <v/>
      </c>
      <c r="I118" s="45"/>
      <c r="J118" s="56"/>
      <c r="K118" s="46"/>
      <c r="L118" s="53" t="str">
        <f aca="false">IF(A118="","",IF(B118="","Missing code",IF(C118="Unknown code","Unknown code",IF(COUNTIF($A$6:$A$505,A118)&gt;1,"Duplicate WO",""))))</f>
        <v/>
      </c>
    </row>
    <row r="119" customFormat="false" ht="15" hidden="false" customHeight="false" outlineLevel="0" collapsed="false">
      <c r="A119" s="46"/>
      <c r="B119" s="46"/>
      <c r="C119" s="53" t="str">
        <f aca="false">IF(B119="","",IFERROR(INDEX('Kitting Plan'!$D$5:$D$18,MATCH(B119,'Kitting Plan'!$C$5:$C$18,0)),"Unknown code"))</f>
        <v/>
      </c>
      <c r="D119" s="53" t="str">
        <f aca="false">IF(B119="","",IFERROR(INDEX('Kitting Plan'!$B$5:$B$18,MATCH(B119,'Kitting Plan'!$C$5:$C$18,0)),""))</f>
        <v/>
      </c>
      <c r="E119" s="45"/>
      <c r="F119" s="54" t="str">
        <f aca="false">IF(B119="","",IFERROR(IF(OR(E119="",E119="All"),INDEX('Kitting Plan'!$E$5:$E$18,MATCH(B119,'Kitting Plan'!$C$5:$C$18,0)),INDEX('Kitting Plan'!$H$5:$H$18,MATCH(B119,'Kitting Plan'!$C$5:$C$18,0))),""))</f>
        <v/>
      </c>
      <c r="G119" s="45"/>
      <c r="H119" s="55" t="str">
        <f aca="false">IF(B119="","",IF(G119="",F119,G119))</f>
        <v/>
      </c>
      <c r="I119" s="45"/>
      <c r="J119" s="56"/>
      <c r="K119" s="46"/>
      <c r="L119" s="53" t="str">
        <f aca="false">IF(A119="","",IF(B119="","Missing code",IF(C119="Unknown code","Unknown code",IF(COUNTIF($A$6:$A$505,A119)&gt;1,"Duplicate WO",""))))</f>
        <v/>
      </c>
    </row>
    <row r="120" customFormat="false" ht="15" hidden="false" customHeight="false" outlineLevel="0" collapsed="false">
      <c r="A120" s="46"/>
      <c r="B120" s="46"/>
      <c r="C120" s="53" t="str">
        <f aca="false">IF(B120="","",IFERROR(INDEX('Kitting Plan'!$D$5:$D$18,MATCH(B120,'Kitting Plan'!$C$5:$C$18,0)),"Unknown code"))</f>
        <v/>
      </c>
      <c r="D120" s="53" t="str">
        <f aca="false">IF(B120="","",IFERROR(INDEX('Kitting Plan'!$B$5:$B$18,MATCH(B120,'Kitting Plan'!$C$5:$C$18,0)),""))</f>
        <v/>
      </c>
      <c r="E120" s="45"/>
      <c r="F120" s="54" t="str">
        <f aca="false">IF(B120="","",IFERROR(IF(OR(E120="",E120="All"),INDEX('Kitting Plan'!$E$5:$E$18,MATCH(B120,'Kitting Plan'!$C$5:$C$18,0)),INDEX('Kitting Plan'!$H$5:$H$18,MATCH(B120,'Kitting Plan'!$C$5:$C$18,0))),""))</f>
        <v/>
      </c>
      <c r="G120" s="45"/>
      <c r="H120" s="55" t="str">
        <f aca="false">IF(B120="","",IF(G120="",F120,G120))</f>
        <v/>
      </c>
      <c r="I120" s="45"/>
      <c r="J120" s="56"/>
      <c r="K120" s="46"/>
      <c r="L120" s="53" t="str">
        <f aca="false">IF(A120="","",IF(B120="","Missing code",IF(C120="Unknown code","Unknown code",IF(COUNTIF($A$6:$A$505,A120)&gt;1,"Duplicate WO",""))))</f>
        <v/>
      </c>
    </row>
    <row r="121" customFormat="false" ht="15" hidden="false" customHeight="false" outlineLevel="0" collapsed="false">
      <c r="A121" s="46"/>
      <c r="B121" s="46"/>
      <c r="C121" s="53" t="str">
        <f aca="false">IF(B121="","",IFERROR(INDEX('Kitting Plan'!$D$5:$D$18,MATCH(B121,'Kitting Plan'!$C$5:$C$18,0)),"Unknown code"))</f>
        <v/>
      </c>
      <c r="D121" s="53" t="str">
        <f aca="false">IF(B121="","",IFERROR(INDEX('Kitting Plan'!$B$5:$B$18,MATCH(B121,'Kitting Plan'!$C$5:$C$18,0)),""))</f>
        <v/>
      </c>
      <c r="E121" s="45"/>
      <c r="F121" s="54" t="str">
        <f aca="false">IF(B121="","",IFERROR(IF(OR(E121="",E121="All"),INDEX('Kitting Plan'!$E$5:$E$18,MATCH(B121,'Kitting Plan'!$C$5:$C$18,0)),INDEX('Kitting Plan'!$H$5:$H$18,MATCH(B121,'Kitting Plan'!$C$5:$C$18,0))),""))</f>
        <v/>
      </c>
      <c r="G121" s="45"/>
      <c r="H121" s="55" t="str">
        <f aca="false">IF(B121="","",IF(G121="",F121,G121))</f>
        <v/>
      </c>
      <c r="I121" s="45"/>
      <c r="J121" s="56"/>
      <c r="K121" s="46"/>
      <c r="L121" s="53" t="str">
        <f aca="false">IF(A121="","",IF(B121="","Missing code",IF(C121="Unknown code","Unknown code",IF(COUNTIF($A$6:$A$505,A121)&gt;1,"Duplicate WO",""))))</f>
        <v/>
      </c>
    </row>
    <row r="122" customFormat="false" ht="15" hidden="false" customHeight="false" outlineLevel="0" collapsed="false">
      <c r="A122" s="46"/>
      <c r="B122" s="46"/>
      <c r="C122" s="53" t="str">
        <f aca="false">IF(B122="","",IFERROR(INDEX('Kitting Plan'!$D$5:$D$18,MATCH(B122,'Kitting Plan'!$C$5:$C$18,0)),"Unknown code"))</f>
        <v/>
      </c>
      <c r="D122" s="53" t="str">
        <f aca="false">IF(B122="","",IFERROR(INDEX('Kitting Plan'!$B$5:$B$18,MATCH(B122,'Kitting Plan'!$C$5:$C$18,0)),""))</f>
        <v/>
      </c>
      <c r="E122" s="45"/>
      <c r="F122" s="54" t="str">
        <f aca="false">IF(B122="","",IFERROR(IF(OR(E122="",E122="All"),INDEX('Kitting Plan'!$E$5:$E$18,MATCH(B122,'Kitting Plan'!$C$5:$C$18,0)),INDEX('Kitting Plan'!$H$5:$H$18,MATCH(B122,'Kitting Plan'!$C$5:$C$18,0))),""))</f>
        <v/>
      </c>
      <c r="G122" s="45"/>
      <c r="H122" s="55" t="str">
        <f aca="false">IF(B122="","",IF(G122="",F122,G122))</f>
        <v/>
      </c>
      <c r="I122" s="45"/>
      <c r="J122" s="56"/>
      <c r="K122" s="46"/>
      <c r="L122" s="53" t="str">
        <f aca="false">IF(A122="","",IF(B122="","Missing code",IF(C122="Unknown code","Unknown code",IF(COUNTIF($A$6:$A$505,A122)&gt;1,"Duplicate WO",""))))</f>
        <v/>
      </c>
    </row>
    <row r="123" customFormat="false" ht="15" hidden="false" customHeight="false" outlineLevel="0" collapsed="false">
      <c r="A123" s="46"/>
      <c r="B123" s="46"/>
      <c r="C123" s="53" t="str">
        <f aca="false">IF(B123="","",IFERROR(INDEX('Kitting Plan'!$D$5:$D$18,MATCH(B123,'Kitting Plan'!$C$5:$C$18,0)),"Unknown code"))</f>
        <v/>
      </c>
      <c r="D123" s="53" t="str">
        <f aca="false">IF(B123="","",IFERROR(INDEX('Kitting Plan'!$B$5:$B$18,MATCH(B123,'Kitting Plan'!$C$5:$C$18,0)),""))</f>
        <v/>
      </c>
      <c r="E123" s="45"/>
      <c r="F123" s="54" t="str">
        <f aca="false">IF(B123="","",IFERROR(IF(OR(E123="",E123="All"),INDEX('Kitting Plan'!$E$5:$E$18,MATCH(B123,'Kitting Plan'!$C$5:$C$18,0)),INDEX('Kitting Plan'!$H$5:$H$18,MATCH(B123,'Kitting Plan'!$C$5:$C$18,0))),""))</f>
        <v/>
      </c>
      <c r="G123" s="45"/>
      <c r="H123" s="55" t="str">
        <f aca="false">IF(B123="","",IF(G123="",F123,G123))</f>
        <v/>
      </c>
      <c r="I123" s="45"/>
      <c r="J123" s="56"/>
      <c r="K123" s="46"/>
      <c r="L123" s="53" t="str">
        <f aca="false">IF(A123="","",IF(B123="","Missing code",IF(C123="Unknown code","Unknown code",IF(COUNTIF($A$6:$A$505,A123)&gt;1,"Duplicate WO",""))))</f>
        <v/>
      </c>
    </row>
    <row r="124" customFormat="false" ht="15" hidden="false" customHeight="false" outlineLevel="0" collapsed="false">
      <c r="A124" s="46"/>
      <c r="B124" s="46"/>
      <c r="C124" s="53" t="str">
        <f aca="false">IF(B124="","",IFERROR(INDEX('Kitting Plan'!$D$5:$D$18,MATCH(B124,'Kitting Plan'!$C$5:$C$18,0)),"Unknown code"))</f>
        <v/>
      </c>
      <c r="D124" s="53" t="str">
        <f aca="false">IF(B124="","",IFERROR(INDEX('Kitting Plan'!$B$5:$B$18,MATCH(B124,'Kitting Plan'!$C$5:$C$18,0)),""))</f>
        <v/>
      </c>
      <c r="E124" s="45"/>
      <c r="F124" s="54" t="str">
        <f aca="false">IF(B124="","",IFERROR(IF(OR(E124="",E124="All"),INDEX('Kitting Plan'!$E$5:$E$18,MATCH(B124,'Kitting Plan'!$C$5:$C$18,0)),INDEX('Kitting Plan'!$H$5:$H$18,MATCH(B124,'Kitting Plan'!$C$5:$C$18,0))),""))</f>
        <v/>
      </c>
      <c r="G124" s="45"/>
      <c r="H124" s="55" t="str">
        <f aca="false">IF(B124="","",IF(G124="",F124,G124))</f>
        <v/>
      </c>
      <c r="I124" s="45"/>
      <c r="J124" s="56"/>
      <c r="K124" s="46"/>
      <c r="L124" s="53" t="str">
        <f aca="false">IF(A124="","",IF(B124="","Missing code",IF(C124="Unknown code","Unknown code",IF(COUNTIF($A$6:$A$505,A124)&gt;1,"Duplicate WO",""))))</f>
        <v/>
      </c>
    </row>
    <row r="125" customFormat="false" ht="15" hidden="false" customHeight="false" outlineLevel="0" collapsed="false">
      <c r="A125" s="46"/>
      <c r="B125" s="46"/>
      <c r="C125" s="53" t="str">
        <f aca="false">IF(B125="","",IFERROR(INDEX('Kitting Plan'!$D$5:$D$18,MATCH(B125,'Kitting Plan'!$C$5:$C$18,0)),"Unknown code"))</f>
        <v/>
      </c>
      <c r="D125" s="53" t="str">
        <f aca="false">IF(B125="","",IFERROR(INDEX('Kitting Plan'!$B$5:$B$18,MATCH(B125,'Kitting Plan'!$C$5:$C$18,0)),""))</f>
        <v/>
      </c>
      <c r="E125" s="45"/>
      <c r="F125" s="54" t="str">
        <f aca="false">IF(B125="","",IFERROR(IF(OR(E125="",E125="All"),INDEX('Kitting Plan'!$E$5:$E$18,MATCH(B125,'Kitting Plan'!$C$5:$C$18,0)),INDEX('Kitting Plan'!$H$5:$H$18,MATCH(B125,'Kitting Plan'!$C$5:$C$18,0))),""))</f>
        <v/>
      </c>
      <c r="G125" s="45"/>
      <c r="H125" s="55" t="str">
        <f aca="false">IF(B125="","",IF(G125="",F125,G125))</f>
        <v/>
      </c>
      <c r="I125" s="45"/>
      <c r="J125" s="56"/>
      <c r="K125" s="46"/>
      <c r="L125" s="53" t="str">
        <f aca="false">IF(A125="","",IF(B125="","Missing code",IF(C125="Unknown code","Unknown code",IF(COUNTIF($A$6:$A$505,A125)&gt;1,"Duplicate WO",""))))</f>
        <v/>
      </c>
    </row>
    <row r="126" customFormat="false" ht="15" hidden="false" customHeight="false" outlineLevel="0" collapsed="false">
      <c r="A126" s="46"/>
      <c r="B126" s="46"/>
      <c r="C126" s="53" t="str">
        <f aca="false">IF(B126="","",IFERROR(INDEX('Kitting Plan'!$D$5:$D$18,MATCH(B126,'Kitting Plan'!$C$5:$C$18,0)),"Unknown code"))</f>
        <v/>
      </c>
      <c r="D126" s="53" t="str">
        <f aca="false">IF(B126="","",IFERROR(INDEX('Kitting Plan'!$B$5:$B$18,MATCH(B126,'Kitting Plan'!$C$5:$C$18,0)),""))</f>
        <v/>
      </c>
      <c r="E126" s="45"/>
      <c r="F126" s="54" t="str">
        <f aca="false">IF(B126="","",IFERROR(IF(OR(E126="",E126="All"),INDEX('Kitting Plan'!$E$5:$E$18,MATCH(B126,'Kitting Plan'!$C$5:$C$18,0)),INDEX('Kitting Plan'!$H$5:$H$18,MATCH(B126,'Kitting Plan'!$C$5:$C$18,0))),""))</f>
        <v/>
      </c>
      <c r="G126" s="45"/>
      <c r="H126" s="55" t="str">
        <f aca="false">IF(B126="","",IF(G126="",F126,G126))</f>
        <v/>
      </c>
      <c r="I126" s="45"/>
      <c r="J126" s="56"/>
      <c r="K126" s="46"/>
      <c r="L126" s="53" t="str">
        <f aca="false">IF(A126="","",IF(B126="","Missing code",IF(C126="Unknown code","Unknown code",IF(COUNTIF($A$6:$A$505,A126)&gt;1,"Duplicate WO",""))))</f>
        <v/>
      </c>
    </row>
    <row r="127" customFormat="false" ht="15" hidden="false" customHeight="false" outlineLevel="0" collapsed="false">
      <c r="A127" s="46"/>
      <c r="B127" s="46"/>
      <c r="C127" s="53" t="str">
        <f aca="false">IF(B127="","",IFERROR(INDEX('Kitting Plan'!$D$5:$D$18,MATCH(B127,'Kitting Plan'!$C$5:$C$18,0)),"Unknown code"))</f>
        <v/>
      </c>
      <c r="D127" s="53" t="str">
        <f aca="false">IF(B127="","",IFERROR(INDEX('Kitting Plan'!$B$5:$B$18,MATCH(B127,'Kitting Plan'!$C$5:$C$18,0)),""))</f>
        <v/>
      </c>
      <c r="E127" s="45"/>
      <c r="F127" s="54" t="str">
        <f aca="false">IF(B127="","",IFERROR(IF(OR(E127="",E127="All"),INDEX('Kitting Plan'!$E$5:$E$18,MATCH(B127,'Kitting Plan'!$C$5:$C$18,0)),INDEX('Kitting Plan'!$H$5:$H$18,MATCH(B127,'Kitting Plan'!$C$5:$C$18,0))),""))</f>
        <v/>
      </c>
      <c r="G127" s="45"/>
      <c r="H127" s="55" t="str">
        <f aca="false">IF(B127="","",IF(G127="",F127,G127))</f>
        <v/>
      </c>
      <c r="I127" s="45"/>
      <c r="J127" s="56"/>
      <c r="K127" s="46"/>
      <c r="L127" s="53" t="str">
        <f aca="false">IF(A127="","",IF(B127="","Missing code",IF(C127="Unknown code","Unknown code",IF(COUNTIF($A$6:$A$505,A127)&gt;1,"Duplicate WO",""))))</f>
        <v/>
      </c>
    </row>
    <row r="128" customFormat="false" ht="15" hidden="false" customHeight="false" outlineLevel="0" collapsed="false">
      <c r="A128" s="46"/>
      <c r="B128" s="46"/>
      <c r="C128" s="53" t="str">
        <f aca="false">IF(B128="","",IFERROR(INDEX('Kitting Plan'!$D$5:$D$18,MATCH(B128,'Kitting Plan'!$C$5:$C$18,0)),"Unknown code"))</f>
        <v/>
      </c>
      <c r="D128" s="53" t="str">
        <f aca="false">IF(B128="","",IFERROR(INDEX('Kitting Plan'!$B$5:$B$18,MATCH(B128,'Kitting Plan'!$C$5:$C$18,0)),""))</f>
        <v/>
      </c>
      <c r="E128" s="45"/>
      <c r="F128" s="54" t="str">
        <f aca="false">IF(B128="","",IFERROR(IF(OR(E128="",E128="All"),INDEX('Kitting Plan'!$E$5:$E$18,MATCH(B128,'Kitting Plan'!$C$5:$C$18,0)),INDEX('Kitting Plan'!$H$5:$H$18,MATCH(B128,'Kitting Plan'!$C$5:$C$18,0))),""))</f>
        <v/>
      </c>
      <c r="G128" s="45"/>
      <c r="H128" s="55" t="str">
        <f aca="false">IF(B128="","",IF(G128="",F128,G128))</f>
        <v/>
      </c>
      <c r="I128" s="45"/>
      <c r="J128" s="56"/>
      <c r="K128" s="46"/>
      <c r="L128" s="53" t="str">
        <f aca="false">IF(A128="","",IF(B128="","Missing code",IF(C128="Unknown code","Unknown code",IF(COUNTIF($A$6:$A$505,A128)&gt;1,"Duplicate WO",""))))</f>
        <v/>
      </c>
    </row>
    <row r="129" customFormat="false" ht="15" hidden="false" customHeight="false" outlineLevel="0" collapsed="false">
      <c r="A129" s="46"/>
      <c r="B129" s="46"/>
      <c r="C129" s="53" t="str">
        <f aca="false">IF(B129="","",IFERROR(INDEX('Kitting Plan'!$D$5:$D$18,MATCH(B129,'Kitting Plan'!$C$5:$C$18,0)),"Unknown code"))</f>
        <v/>
      </c>
      <c r="D129" s="53" t="str">
        <f aca="false">IF(B129="","",IFERROR(INDEX('Kitting Plan'!$B$5:$B$18,MATCH(B129,'Kitting Plan'!$C$5:$C$18,0)),""))</f>
        <v/>
      </c>
      <c r="E129" s="45"/>
      <c r="F129" s="54" t="str">
        <f aca="false">IF(B129="","",IFERROR(IF(OR(E129="",E129="All"),INDEX('Kitting Plan'!$E$5:$E$18,MATCH(B129,'Kitting Plan'!$C$5:$C$18,0)),INDEX('Kitting Plan'!$H$5:$H$18,MATCH(B129,'Kitting Plan'!$C$5:$C$18,0))),""))</f>
        <v/>
      </c>
      <c r="G129" s="45"/>
      <c r="H129" s="55" t="str">
        <f aca="false">IF(B129="","",IF(G129="",F129,G129))</f>
        <v/>
      </c>
      <c r="I129" s="45"/>
      <c r="J129" s="56"/>
      <c r="K129" s="46"/>
      <c r="L129" s="53" t="str">
        <f aca="false">IF(A129="","",IF(B129="","Missing code",IF(C129="Unknown code","Unknown code",IF(COUNTIF($A$6:$A$505,A129)&gt;1,"Duplicate WO",""))))</f>
        <v/>
      </c>
    </row>
    <row r="130" customFormat="false" ht="15" hidden="false" customHeight="false" outlineLevel="0" collapsed="false">
      <c r="A130" s="46"/>
      <c r="B130" s="46"/>
      <c r="C130" s="53" t="str">
        <f aca="false">IF(B130="","",IFERROR(INDEX('Kitting Plan'!$D$5:$D$18,MATCH(B130,'Kitting Plan'!$C$5:$C$18,0)),"Unknown code"))</f>
        <v/>
      </c>
      <c r="D130" s="53" t="str">
        <f aca="false">IF(B130="","",IFERROR(INDEX('Kitting Plan'!$B$5:$B$18,MATCH(B130,'Kitting Plan'!$C$5:$C$18,0)),""))</f>
        <v/>
      </c>
      <c r="E130" s="45"/>
      <c r="F130" s="54" t="str">
        <f aca="false">IF(B130="","",IFERROR(IF(OR(E130="",E130="All"),INDEX('Kitting Plan'!$E$5:$E$18,MATCH(B130,'Kitting Plan'!$C$5:$C$18,0)),INDEX('Kitting Plan'!$H$5:$H$18,MATCH(B130,'Kitting Plan'!$C$5:$C$18,0))),""))</f>
        <v/>
      </c>
      <c r="G130" s="45"/>
      <c r="H130" s="55" t="str">
        <f aca="false">IF(B130="","",IF(G130="",F130,G130))</f>
        <v/>
      </c>
      <c r="I130" s="45"/>
      <c r="J130" s="56"/>
      <c r="K130" s="46"/>
      <c r="L130" s="53" t="str">
        <f aca="false">IF(A130="","",IF(B130="","Missing code",IF(C130="Unknown code","Unknown code",IF(COUNTIF($A$6:$A$505,A130)&gt;1,"Duplicate WO",""))))</f>
        <v/>
      </c>
    </row>
    <row r="131" customFormat="false" ht="15" hidden="false" customHeight="false" outlineLevel="0" collapsed="false">
      <c r="A131" s="46"/>
      <c r="B131" s="46"/>
      <c r="C131" s="53" t="str">
        <f aca="false">IF(B131="","",IFERROR(INDEX('Kitting Plan'!$D$5:$D$18,MATCH(B131,'Kitting Plan'!$C$5:$C$18,0)),"Unknown code"))</f>
        <v/>
      </c>
      <c r="D131" s="53" t="str">
        <f aca="false">IF(B131="","",IFERROR(INDEX('Kitting Plan'!$B$5:$B$18,MATCH(B131,'Kitting Plan'!$C$5:$C$18,0)),""))</f>
        <v/>
      </c>
      <c r="E131" s="45"/>
      <c r="F131" s="54" t="str">
        <f aca="false">IF(B131="","",IFERROR(IF(OR(E131="",E131="All"),INDEX('Kitting Plan'!$E$5:$E$18,MATCH(B131,'Kitting Plan'!$C$5:$C$18,0)),INDEX('Kitting Plan'!$H$5:$H$18,MATCH(B131,'Kitting Plan'!$C$5:$C$18,0))),""))</f>
        <v/>
      </c>
      <c r="G131" s="45"/>
      <c r="H131" s="55" t="str">
        <f aca="false">IF(B131="","",IF(G131="",F131,G131))</f>
        <v/>
      </c>
      <c r="I131" s="45"/>
      <c r="J131" s="56"/>
      <c r="K131" s="46"/>
      <c r="L131" s="53" t="str">
        <f aca="false">IF(A131="","",IF(B131="","Missing code",IF(C131="Unknown code","Unknown code",IF(COUNTIF($A$6:$A$505,A131)&gt;1,"Duplicate WO",""))))</f>
        <v/>
      </c>
    </row>
    <row r="132" customFormat="false" ht="15" hidden="false" customHeight="false" outlineLevel="0" collapsed="false">
      <c r="A132" s="46"/>
      <c r="B132" s="46"/>
      <c r="C132" s="53" t="str">
        <f aca="false">IF(B132="","",IFERROR(INDEX('Kitting Plan'!$D$5:$D$18,MATCH(B132,'Kitting Plan'!$C$5:$C$18,0)),"Unknown code"))</f>
        <v/>
      </c>
      <c r="D132" s="53" t="str">
        <f aca="false">IF(B132="","",IFERROR(INDEX('Kitting Plan'!$B$5:$B$18,MATCH(B132,'Kitting Plan'!$C$5:$C$18,0)),""))</f>
        <v/>
      </c>
      <c r="E132" s="45"/>
      <c r="F132" s="54" t="str">
        <f aca="false">IF(B132="","",IFERROR(IF(OR(E132="",E132="All"),INDEX('Kitting Plan'!$E$5:$E$18,MATCH(B132,'Kitting Plan'!$C$5:$C$18,0)),INDEX('Kitting Plan'!$H$5:$H$18,MATCH(B132,'Kitting Plan'!$C$5:$C$18,0))),""))</f>
        <v/>
      </c>
      <c r="G132" s="45"/>
      <c r="H132" s="55" t="str">
        <f aca="false">IF(B132="","",IF(G132="",F132,G132))</f>
        <v/>
      </c>
      <c r="I132" s="45"/>
      <c r="J132" s="56"/>
      <c r="K132" s="46"/>
      <c r="L132" s="53" t="str">
        <f aca="false">IF(A132="","",IF(B132="","Missing code",IF(C132="Unknown code","Unknown code",IF(COUNTIF($A$6:$A$505,A132)&gt;1,"Duplicate WO",""))))</f>
        <v/>
      </c>
    </row>
    <row r="133" customFormat="false" ht="15" hidden="false" customHeight="false" outlineLevel="0" collapsed="false">
      <c r="A133" s="46"/>
      <c r="B133" s="46"/>
      <c r="C133" s="53" t="str">
        <f aca="false">IF(B133="","",IFERROR(INDEX('Kitting Plan'!$D$5:$D$18,MATCH(B133,'Kitting Plan'!$C$5:$C$18,0)),"Unknown code"))</f>
        <v/>
      </c>
      <c r="D133" s="53" t="str">
        <f aca="false">IF(B133="","",IFERROR(INDEX('Kitting Plan'!$B$5:$B$18,MATCH(B133,'Kitting Plan'!$C$5:$C$18,0)),""))</f>
        <v/>
      </c>
      <c r="E133" s="45"/>
      <c r="F133" s="54" t="str">
        <f aca="false">IF(B133="","",IFERROR(IF(OR(E133="",E133="All"),INDEX('Kitting Plan'!$E$5:$E$18,MATCH(B133,'Kitting Plan'!$C$5:$C$18,0)),INDEX('Kitting Plan'!$H$5:$H$18,MATCH(B133,'Kitting Plan'!$C$5:$C$18,0))),""))</f>
        <v/>
      </c>
      <c r="G133" s="45"/>
      <c r="H133" s="55" t="str">
        <f aca="false">IF(B133="","",IF(G133="",F133,G133))</f>
        <v/>
      </c>
      <c r="I133" s="45"/>
      <c r="J133" s="56"/>
      <c r="K133" s="46"/>
      <c r="L133" s="53" t="str">
        <f aca="false">IF(A133="","",IF(B133="","Missing code",IF(C133="Unknown code","Unknown code",IF(COUNTIF($A$6:$A$505,A133)&gt;1,"Duplicate WO",""))))</f>
        <v/>
      </c>
    </row>
    <row r="134" customFormat="false" ht="15" hidden="false" customHeight="false" outlineLevel="0" collapsed="false">
      <c r="A134" s="46"/>
      <c r="B134" s="46"/>
      <c r="C134" s="53" t="str">
        <f aca="false">IF(B134="","",IFERROR(INDEX('Kitting Plan'!$D$5:$D$18,MATCH(B134,'Kitting Plan'!$C$5:$C$18,0)),"Unknown code"))</f>
        <v/>
      </c>
      <c r="D134" s="53" t="str">
        <f aca="false">IF(B134="","",IFERROR(INDEX('Kitting Plan'!$B$5:$B$18,MATCH(B134,'Kitting Plan'!$C$5:$C$18,0)),""))</f>
        <v/>
      </c>
      <c r="E134" s="45"/>
      <c r="F134" s="54" t="str">
        <f aca="false">IF(B134="","",IFERROR(IF(OR(E134="",E134="All"),INDEX('Kitting Plan'!$E$5:$E$18,MATCH(B134,'Kitting Plan'!$C$5:$C$18,0)),INDEX('Kitting Plan'!$H$5:$H$18,MATCH(B134,'Kitting Plan'!$C$5:$C$18,0))),""))</f>
        <v/>
      </c>
      <c r="G134" s="45"/>
      <c r="H134" s="55" t="str">
        <f aca="false">IF(B134="","",IF(G134="",F134,G134))</f>
        <v/>
      </c>
      <c r="I134" s="45"/>
      <c r="J134" s="56"/>
      <c r="K134" s="46"/>
      <c r="L134" s="53" t="str">
        <f aca="false">IF(A134="","",IF(B134="","Missing code",IF(C134="Unknown code","Unknown code",IF(COUNTIF($A$6:$A$505,A134)&gt;1,"Duplicate WO",""))))</f>
        <v/>
      </c>
    </row>
    <row r="135" customFormat="false" ht="15" hidden="false" customHeight="false" outlineLevel="0" collapsed="false">
      <c r="A135" s="46"/>
      <c r="B135" s="46"/>
      <c r="C135" s="53" t="str">
        <f aca="false">IF(B135="","",IFERROR(INDEX('Kitting Plan'!$D$5:$D$18,MATCH(B135,'Kitting Plan'!$C$5:$C$18,0)),"Unknown code"))</f>
        <v/>
      </c>
      <c r="D135" s="53" t="str">
        <f aca="false">IF(B135="","",IFERROR(INDEX('Kitting Plan'!$B$5:$B$18,MATCH(B135,'Kitting Plan'!$C$5:$C$18,0)),""))</f>
        <v/>
      </c>
      <c r="E135" s="45"/>
      <c r="F135" s="54" t="str">
        <f aca="false">IF(B135="","",IFERROR(IF(OR(E135="",E135="All"),INDEX('Kitting Plan'!$E$5:$E$18,MATCH(B135,'Kitting Plan'!$C$5:$C$18,0)),INDEX('Kitting Plan'!$H$5:$H$18,MATCH(B135,'Kitting Plan'!$C$5:$C$18,0))),""))</f>
        <v/>
      </c>
      <c r="G135" s="45"/>
      <c r="H135" s="55" t="str">
        <f aca="false">IF(B135="","",IF(G135="",F135,G135))</f>
        <v/>
      </c>
      <c r="I135" s="45"/>
      <c r="J135" s="56"/>
      <c r="K135" s="46"/>
      <c r="L135" s="53" t="str">
        <f aca="false">IF(A135="","",IF(B135="","Missing code",IF(C135="Unknown code","Unknown code",IF(COUNTIF($A$6:$A$505,A135)&gt;1,"Duplicate WO",""))))</f>
        <v/>
      </c>
    </row>
    <row r="136" customFormat="false" ht="15" hidden="false" customHeight="false" outlineLevel="0" collapsed="false">
      <c r="A136" s="46"/>
      <c r="B136" s="46"/>
      <c r="C136" s="53" t="str">
        <f aca="false">IF(B136="","",IFERROR(INDEX('Kitting Plan'!$D$5:$D$18,MATCH(B136,'Kitting Plan'!$C$5:$C$18,0)),"Unknown code"))</f>
        <v/>
      </c>
      <c r="D136" s="53" t="str">
        <f aca="false">IF(B136="","",IFERROR(INDEX('Kitting Plan'!$B$5:$B$18,MATCH(B136,'Kitting Plan'!$C$5:$C$18,0)),""))</f>
        <v/>
      </c>
      <c r="E136" s="45"/>
      <c r="F136" s="54" t="str">
        <f aca="false">IF(B136="","",IFERROR(IF(OR(E136="",E136="All"),INDEX('Kitting Plan'!$E$5:$E$18,MATCH(B136,'Kitting Plan'!$C$5:$C$18,0)),INDEX('Kitting Plan'!$H$5:$H$18,MATCH(B136,'Kitting Plan'!$C$5:$C$18,0))),""))</f>
        <v/>
      </c>
      <c r="G136" s="45"/>
      <c r="H136" s="55" t="str">
        <f aca="false">IF(B136="","",IF(G136="",F136,G136))</f>
        <v/>
      </c>
      <c r="I136" s="45"/>
      <c r="J136" s="56"/>
      <c r="K136" s="46"/>
      <c r="L136" s="53" t="str">
        <f aca="false">IF(A136="","",IF(B136="","Missing code",IF(C136="Unknown code","Unknown code",IF(COUNTIF($A$6:$A$505,A136)&gt;1,"Duplicate WO",""))))</f>
        <v/>
      </c>
    </row>
    <row r="137" customFormat="false" ht="15" hidden="false" customHeight="false" outlineLevel="0" collapsed="false">
      <c r="A137" s="46"/>
      <c r="B137" s="46"/>
      <c r="C137" s="53" t="str">
        <f aca="false">IF(B137="","",IFERROR(INDEX('Kitting Plan'!$D$5:$D$18,MATCH(B137,'Kitting Plan'!$C$5:$C$18,0)),"Unknown code"))</f>
        <v/>
      </c>
      <c r="D137" s="53" t="str">
        <f aca="false">IF(B137="","",IFERROR(INDEX('Kitting Plan'!$B$5:$B$18,MATCH(B137,'Kitting Plan'!$C$5:$C$18,0)),""))</f>
        <v/>
      </c>
      <c r="E137" s="45"/>
      <c r="F137" s="54" t="str">
        <f aca="false">IF(B137="","",IFERROR(IF(OR(E137="",E137="All"),INDEX('Kitting Plan'!$E$5:$E$18,MATCH(B137,'Kitting Plan'!$C$5:$C$18,0)),INDEX('Kitting Plan'!$H$5:$H$18,MATCH(B137,'Kitting Plan'!$C$5:$C$18,0))),""))</f>
        <v/>
      </c>
      <c r="G137" s="45"/>
      <c r="H137" s="55" t="str">
        <f aca="false">IF(B137="","",IF(G137="",F137,G137))</f>
        <v/>
      </c>
      <c r="I137" s="45"/>
      <c r="J137" s="56"/>
      <c r="K137" s="46"/>
      <c r="L137" s="53" t="str">
        <f aca="false">IF(A137="","",IF(B137="","Missing code",IF(C137="Unknown code","Unknown code",IF(COUNTIF($A$6:$A$505,A137)&gt;1,"Duplicate WO",""))))</f>
        <v/>
      </c>
    </row>
    <row r="138" customFormat="false" ht="15" hidden="false" customHeight="false" outlineLevel="0" collapsed="false">
      <c r="A138" s="46"/>
      <c r="B138" s="46"/>
      <c r="C138" s="53" t="str">
        <f aca="false">IF(B138="","",IFERROR(INDEX('Kitting Plan'!$D$5:$D$18,MATCH(B138,'Kitting Plan'!$C$5:$C$18,0)),"Unknown code"))</f>
        <v/>
      </c>
      <c r="D138" s="53" t="str">
        <f aca="false">IF(B138="","",IFERROR(INDEX('Kitting Plan'!$B$5:$B$18,MATCH(B138,'Kitting Plan'!$C$5:$C$18,0)),""))</f>
        <v/>
      </c>
      <c r="E138" s="45"/>
      <c r="F138" s="54" t="str">
        <f aca="false">IF(B138="","",IFERROR(IF(OR(E138="",E138="All"),INDEX('Kitting Plan'!$E$5:$E$18,MATCH(B138,'Kitting Plan'!$C$5:$C$18,0)),INDEX('Kitting Plan'!$H$5:$H$18,MATCH(B138,'Kitting Plan'!$C$5:$C$18,0))),""))</f>
        <v/>
      </c>
      <c r="G138" s="45"/>
      <c r="H138" s="55" t="str">
        <f aca="false">IF(B138="","",IF(G138="",F138,G138))</f>
        <v/>
      </c>
      <c r="I138" s="45"/>
      <c r="J138" s="56"/>
      <c r="K138" s="46"/>
      <c r="L138" s="53" t="str">
        <f aca="false">IF(A138="","",IF(B138="","Missing code",IF(C138="Unknown code","Unknown code",IF(COUNTIF($A$6:$A$505,A138)&gt;1,"Duplicate WO",""))))</f>
        <v/>
      </c>
    </row>
    <row r="139" customFormat="false" ht="15" hidden="false" customHeight="false" outlineLevel="0" collapsed="false">
      <c r="A139" s="46"/>
      <c r="B139" s="46"/>
      <c r="C139" s="53" t="str">
        <f aca="false">IF(B139="","",IFERROR(INDEX('Kitting Plan'!$D$5:$D$18,MATCH(B139,'Kitting Plan'!$C$5:$C$18,0)),"Unknown code"))</f>
        <v/>
      </c>
      <c r="D139" s="53" t="str">
        <f aca="false">IF(B139="","",IFERROR(INDEX('Kitting Plan'!$B$5:$B$18,MATCH(B139,'Kitting Plan'!$C$5:$C$18,0)),""))</f>
        <v/>
      </c>
      <c r="E139" s="45"/>
      <c r="F139" s="54" t="str">
        <f aca="false">IF(B139="","",IFERROR(IF(OR(E139="",E139="All"),INDEX('Kitting Plan'!$E$5:$E$18,MATCH(B139,'Kitting Plan'!$C$5:$C$18,0)),INDEX('Kitting Plan'!$H$5:$H$18,MATCH(B139,'Kitting Plan'!$C$5:$C$18,0))),""))</f>
        <v/>
      </c>
      <c r="G139" s="45"/>
      <c r="H139" s="55" t="str">
        <f aca="false">IF(B139="","",IF(G139="",F139,G139))</f>
        <v/>
      </c>
      <c r="I139" s="45"/>
      <c r="J139" s="56"/>
      <c r="K139" s="46"/>
      <c r="L139" s="53" t="str">
        <f aca="false">IF(A139="","",IF(B139="","Missing code",IF(C139="Unknown code","Unknown code",IF(COUNTIF($A$6:$A$505,A139)&gt;1,"Duplicate WO",""))))</f>
        <v/>
      </c>
    </row>
    <row r="140" customFormat="false" ht="15" hidden="false" customHeight="false" outlineLevel="0" collapsed="false">
      <c r="A140" s="46"/>
      <c r="B140" s="46"/>
      <c r="C140" s="53" t="str">
        <f aca="false">IF(B140="","",IFERROR(INDEX('Kitting Plan'!$D$5:$D$18,MATCH(B140,'Kitting Plan'!$C$5:$C$18,0)),"Unknown code"))</f>
        <v/>
      </c>
      <c r="D140" s="53" t="str">
        <f aca="false">IF(B140="","",IFERROR(INDEX('Kitting Plan'!$B$5:$B$18,MATCH(B140,'Kitting Plan'!$C$5:$C$18,0)),""))</f>
        <v/>
      </c>
      <c r="E140" s="45"/>
      <c r="F140" s="54" t="str">
        <f aca="false">IF(B140="","",IFERROR(IF(OR(E140="",E140="All"),INDEX('Kitting Plan'!$E$5:$E$18,MATCH(B140,'Kitting Plan'!$C$5:$C$18,0)),INDEX('Kitting Plan'!$H$5:$H$18,MATCH(B140,'Kitting Plan'!$C$5:$C$18,0))),""))</f>
        <v/>
      </c>
      <c r="G140" s="45"/>
      <c r="H140" s="55" t="str">
        <f aca="false">IF(B140="","",IF(G140="",F140,G140))</f>
        <v/>
      </c>
      <c r="I140" s="45"/>
      <c r="J140" s="56"/>
      <c r="K140" s="46"/>
      <c r="L140" s="53" t="str">
        <f aca="false">IF(A140="","",IF(B140="","Missing code",IF(C140="Unknown code","Unknown code",IF(COUNTIF($A$6:$A$505,A140)&gt;1,"Duplicate WO",""))))</f>
        <v/>
      </c>
    </row>
    <row r="141" customFormat="false" ht="15" hidden="false" customHeight="false" outlineLevel="0" collapsed="false">
      <c r="A141" s="46"/>
      <c r="B141" s="46"/>
      <c r="C141" s="53" t="str">
        <f aca="false">IF(B141="","",IFERROR(INDEX('Kitting Plan'!$D$5:$D$18,MATCH(B141,'Kitting Plan'!$C$5:$C$18,0)),"Unknown code"))</f>
        <v/>
      </c>
      <c r="D141" s="53" t="str">
        <f aca="false">IF(B141="","",IFERROR(INDEX('Kitting Plan'!$B$5:$B$18,MATCH(B141,'Kitting Plan'!$C$5:$C$18,0)),""))</f>
        <v/>
      </c>
      <c r="E141" s="45"/>
      <c r="F141" s="54" t="str">
        <f aca="false">IF(B141="","",IFERROR(IF(OR(E141="",E141="All"),INDEX('Kitting Plan'!$E$5:$E$18,MATCH(B141,'Kitting Plan'!$C$5:$C$18,0)),INDEX('Kitting Plan'!$H$5:$H$18,MATCH(B141,'Kitting Plan'!$C$5:$C$18,0))),""))</f>
        <v/>
      </c>
      <c r="G141" s="45"/>
      <c r="H141" s="55" t="str">
        <f aca="false">IF(B141="","",IF(G141="",F141,G141))</f>
        <v/>
      </c>
      <c r="I141" s="45"/>
      <c r="J141" s="56"/>
      <c r="K141" s="46"/>
      <c r="L141" s="53" t="str">
        <f aca="false">IF(A141="","",IF(B141="","Missing code",IF(C141="Unknown code","Unknown code",IF(COUNTIF($A$6:$A$505,A141)&gt;1,"Duplicate WO",""))))</f>
        <v/>
      </c>
    </row>
    <row r="142" customFormat="false" ht="15" hidden="false" customHeight="false" outlineLevel="0" collapsed="false">
      <c r="A142" s="46"/>
      <c r="B142" s="46"/>
      <c r="C142" s="53" t="str">
        <f aca="false">IF(B142="","",IFERROR(INDEX('Kitting Plan'!$D$5:$D$18,MATCH(B142,'Kitting Plan'!$C$5:$C$18,0)),"Unknown code"))</f>
        <v/>
      </c>
      <c r="D142" s="53" t="str">
        <f aca="false">IF(B142="","",IFERROR(INDEX('Kitting Plan'!$B$5:$B$18,MATCH(B142,'Kitting Plan'!$C$5:$C$18,0)),""))</f>
        <v/>
      </c>
      <c r="E142" s="45"/>
      <c r="F142" s="54" t="str">
        <f aca="false">IF(B142="","",IFERROR(IF(OR(E142="",E142="All"),INDEX('Kitting Plan'!$E$5:$E$18,MATCH(B142,'Kitting Plan'!$C$5:$C$18,0)),INDEX('Kitting Plan'!$H$5:$H$18,MATCH(B142,'Kitting Plan'!$C$5:$C$18,0))),""))</f>
        <v/>
      </c>
      <c r="G142" s="45"/>
      <c r="H142" s="55" t="str">
        <f aca="false">IF(B142="","",IF(G142="",F142,G142))</f>
        <v/>
      </c>
      <c r="I142" s="45"/>
      <c r="J142" s="56"/>
      <c r="K142" s="46"/>
      <c r="L142" s="53" t="str">
        <f aca="false">IF(A142="","",IF(B142="","Missing code",IF(C142="Unknown code","Unknown code",IF(COUNTIF($A$6:$A$505,A142)&gt;1,"Duplicate WO",""))))</f>
        <v/>
      </c>
    </row>
    <row r="143" customFormat="false" ht="15" hidden="false" customHeight="false" outlineLevel="0" collapsed="false">
      <c r="A143" s="46"/>
      <c r="B143" s="46"/>
      <c r="C143" s="53" t="str">
        <f aca="false">IF(B143="","",IFERROR(INDEX('Kitting Plan'!$D$5:$D$18,MATCH(B143,'Kitting Plan'!$C$5:$C$18,0)),"Unknown code"))</f>
        <v/>
      </c>
      <c r="D143" s="53" t="str">
        <f aca="false">IF(B143="","",IFERROR(INDEX('Kitting Plan'!$B$5:$B$18,MATCH(B143,'Kitting Plan'!$C$5:$C$18,0)),""))</f>
        <v/>
      </c>
      <c r="E143" s="45"/>
      <c r="F143" s="54" t="str">
        <f aca="false">IF(B143="","",IFERROR(IF(OR(E143="",E143="All"),INDEX('Kitting Plan'!$E$5:$E$18,MATCH(B143,'Kitting Plan'!$C$5:$C$18,0)),INDEX('Kitting Plan'!$H$5:$H$18,MATCH(B143,'Kitting Plan'!$C$5:$C$18,0))),""))</f>
        <v/>
      </c>
      <c r="G143" s="45"/>
      <c r="H143" s="55" t="str">
        <f aca="false">IF(B143="","",IF(G143="",F143,G143))</f>
        <v/>
      </c>
      <c r="I143" s="45"/>
      <c r="J143" s="56"/>
      <c r="K143" s="46"/>
      <c r="L143" s="53" t="str">
        <f aca="false">IF(A143="","",IF(B143="","Missing code",IF(C143="Unknown code","Unknown code",IF(COUNTIF($A$6:$A$505,A143)&gt;1,"Duplicate WO",""))))</f>
        <v/>
      </c>
    </row>
    <row r="144" customFormat="false" ht="15" hidden="false" customHeight="false" outlineLevel="0" collapsed="false">
      <c r="A144" s="46"/>
      <c r="B144" s="46"/>
      <c r="C144" s="53" t="str">
        <f aca="false">IF(B144="","",IFERROR(INDEX('Kitting Plan'!$D$5:$D$18,MATCH(B144,'Kitting Plan'!$C$5:$C$18,0)),"Unknown code"))</f>
        <v/>
      </c>
      <c r="D144" s="53" t="str">
        <f aca="false">IF(B144="","",IFERROR(INDEX('Kitting Plan'!$B$5:$B$18,MATCH(B144,'Kitting Plan'!$C$5:$C$18,0)),""))</f>
        <v/>
      </c>
      <c r="E144" s="45"/>
      <c r="F144" s="54" t="str">
        <f aca="false">IF(B144="","",IFERROR(IF(OR(E144="",E144="All"),INDEX('Kitting Plan'!$E$5:$E$18,MATCH(B144,'Kitting Plan'!$C$5:$C$18,0)),INDEX('Kitting Plan'!$H$5:$H$18,MATCH(B144,'Kitting Plan'!$C$5:$C$18,0))),""))</f>
        <v/>
      </c>
      <c r="G144" s="45"/>
      <c r="H144" s="55" t="str">
        <f aca="false">IF(B144="","",IF(G144="",F144,G144))</f>
        <v/>
      </c>
      <c r="I144" s="45"/>
      <c r="J144" s="56"/>
      <c r="K144" s="46"/>
      <c r="L144" s="53" t="str">
        <f aca="false">IF(A144="","",IF(B144="","Missing code",IF(C144="Unknown code","Unknown code",IF(COUNTIF($A$6:$A$505,A144)&gt;1,"Duplicate WO",""))))</f>
        <v/>
      </c>
    </row>
    <row r="145" customFormat="false" ht="15" hidden="false" customHeight="false" outlineLevel="0" collapsed="false">
      <c r="A145" s="46"/>
      <c r="B145" s="46"/>
      <c r="C145" s="53" t="str">
        <f aca="false">IF(B145="","",IFERROR(INDEX('Kitting Plan'!$D$5:$D$18,MATCH(B145,'Kitting Plan'!$C$5:$C$18,0)),"Unknown code"))</f>
        <v/>
      </c>
      <c r="D145" s="53" t="str">
        <f aca="false">IF(B145="","",IFERROR(INDEX('Kitting Plan'!$B$5:$B$18,MATCH(B145,'Kitting Plan'!$C$5:$C$18,0)),""))</f>
        <v/>
      </c>
      <c r="E145" s="45"/>
      <c r="F145" s="54" t="str">
        <f aca="false">IF(B145="","",IFERROR(IF(OR(E145="",E145="All"),INDEX('Kitting Plan'!$E$5:$E$18,MATCH(B145,'Kitting Plan'!$C$5:$C$18,0)),INDEX('Kitting Plan'!$H$5:$H$18,MATCH(B145,'Kitting Plan'!$C$5:$C$18,0))),""))</f>
        <v/>
      </c>
      <c r="G145" s="45"/>
      <c r="H145" s="55" t="str">
        <f aca="false">IF(B145="","",IF(G145="",F145,G145))</f>
        <v/>
      </c>
      <c r="I145" s="45"/>
      <c r="J145" s="56"/>
      <c r="K145" s="46"/>
      <c r="L145" s="53" t="str">
        <f aca="false">IF(A145="","",IF(B145="","Missing code",IF(C145="Unknown code","Unknown code",IF(COUNTIF($A$6:$A$505,A145)&gt;1,"Duplicate WO",""))))</f>
        <v/>
      </c>
    </row>
    <row r="146" customFormat="false" ht="15" hidden="false" customHeight="false" outlineLevel="0" collapsed="false">
      <c r="A146" s="46"/>
      <c r="B146" s="46"/>
      <c r="C146" s="53" t="str">
        <f aca="false">IF(B146="","",IFERROR(INDEX('Kitting Plan'!$D$5:$D$18,MATCH(B146,'Kitting Plan'!$C$5:$C$18,0)),"Unknown code"))</f>
        <v/>
      </c>
      <c r="D146" s="53" t="str">
        <f aca="false">IF(B146="","",IFERROR(INDEX('Kitting Plan'!$B$5:$B$18,MATCH(B146,'Kitting Plan'!$C$5:$C$18,0)),""))</f>
        <v/>
      </c>
      <c r="E146" s="45"/>
      <c r="F146" s="54" t="str">
        <f aca="false">IF(B146="","",IFERROR(IF(OR(E146="",E146="All"),INDEX('Kitting Plan'!$E$5:$E$18,MATCH(B146,'Kitting Plan'!$C$5:$C$18,0)),INDEX('Kitting Plan'!$H$5:$H$18,MATCH(B146,'Kitting Plan'!$C$5:$C$18,0))),""))</f>
        <v/>
      </c>
      <c r="G146" s="45"/>
      <c r="H146" s="55" t="str">
        <f aca="false">IF(B146="","",IF(G146="",F146,G146))</f>
        <v/>
      </c>
      <c r="I146" s="45"/>
      <c r="J146" s="56"/>
      <c r="K146" s="46"/>
      <c r="L146" s="53" t="str">
        <f aca="false">IF(A146="","",IF(B146="","Missing code",IF(C146="Unknown code","Unknown code",IF(COUNTIF($A$6:$A$505,A146)&gt;1,"Duplicate WO",""))))</f>
        <v/>
      </c>
    </row>
    <row r="147" customFormat="false" ht="15" hidden="false" customHeight="false" outlineLevel="0" collapsed="false">
      <c r="A147" s="46"/>
      <c r="B147" s="46"/>
      <c r="C147" s="53" t="str">
        <f aca="false">IF(B147="","",IFERROR(INDEX('Kitting Plan'!$D$5:$D$18,MATCH(B147,'Kitting Plan'!$C$5:$C$18,0)),"Unknown code"))</f>
        <v/>
      </c>
      <c r="D147" s="53" t="str">
        <f aca="false">IF(B147="","",IFERROR(INDEX('Kitting Plan'!$B$5:$B$18,MATCH(B147,'Kitting Plan'!$C$5:$C$18,0)),""))</f>
        <v/>
      </c>
      <c r="E147" s="45"/>
      <c r="F147" s="54" t="str">
        <f aca="false">IF(B147="","",IFERROR(IF(OR(E147="",E147="All"),INDEX('Kitting Plan'!$E$5:$E$18,MATCH(B147,'Kitting Plan'!$C$5:$C$18,0)),INDEX('Kitting Plan'!$H$5:$H$18,MATCH(B147,'Kitting Plan'!$C$5:$C$18,0))),""))</f>
        <v/>
      </c>
      <c r="G147" s="45"/>
      <c r="H147" s="55" t="str">
        <f aca="false">IF(B147="","",IF(G147="",F147,G147))</f>
        <v/>
      </c>
      <c r="I147" s="45"/>
      <c r="J147" s="56"/>
      <c r="K147" s="46"/>
      <c r="L147" s="53" t="str">
        <f aca="false">IF(A147="","",IF(B147="","Missing code",IF(C147="Unknown code","Unknown code",IF(COUNTIF($A$6:$A$505,A147)&gt;1,"Duplicate WO",""))))</f>
        <v/>
      </c>
    </row>
    <row r="148" customFormat="false" ht="15" hidden="false" customHeight="false" outlineLevel="0" collapsed="false">
      <c r="A148" s="46"/>
      <c r="B148" s="46"/>
      <c r="C148" s="53" t="str">
        <f aca="false">IF(B148="","",IFERROR(INDEX('Kitting Plan'!$D$5:$D$18,MATCH(B148,'Kitting Plan'!$C$5:$C$18,0)),"Unknown code"))</f>
        <v/>
      </c>
      <c r="D148" s="53" t="str">
        <f aca="false">IF(B148="","",IFERROR(INDEX('Kitting Plan'!$B$5:$B$18,MATCH(B148,'Kitting Plan'!$C$5:$C$18,0)),""))</f>
        <v/>
      </c>
      <c r="E148" s="45"/>
      <c r="F148" s="54" t="str">
        <f aca="false">IF(B148="","",IFERROR(IF(OR(E148="",E148="All"),INDEX('Kitting Plan'!$E$5:$E$18,MATCH(B148,'Kitting Plan'!$C$5:$C$18,0)),INDEX('Kitting Plan'!$H$5:$H$18,MATCH(B148,'Kitting Plan'!$C$5:$C$18,0))),""))</f>
        <v/>
      </c>
      <c r="G148" s="45"/>
      <c r="H148" s="55" t="str">
        <f aca="false">IF(B148="","",IF(G148="",F148,G148))</f>
        <v/>
      </c>
      <c r="I148" s="45"/>
      <c r="J148" s="56"/>
      <c r="K148" s="46"/>
      <c r="L148" s="53" t="str">
        <f aca="false">IF(A148="","",IF(B148="","Missing code",IF(C148="Unknown code","Unknown code",IF(COUNTIF($A$6:$A$505,A148)&gt;1,"Duplicate WO",""))))</f>
        <v/>
      </c>
    </row>
    <row r="149" customFormat="false" ht="15" hidden="false" customHeight="false" outlineLevel="0" collapsed="false">
      <c r="A149" s="46"/>
      <c r="B149" s="46"/>
      <c r="C149" s="53" t="str">
        <f aca="false">IF(B149="","",IFERROR(INDEX('Kitting Plan'!$D$5:$D$18,MATCH(B149,'Kitting Plan'!$C$5:$C$18,0)),"Unknown code"))</f>
        <v/>
      </c>
      <c r="D149" s="53" t="str">
        <f aca="false">IF(B149="","",IFERROR(INDEX('Kitting Plan'!$B$5:$B$18,MATCH(B149,'Kitting Plan'!$C$5:$C$18,0)),""))</f>
        <v/>
      </c>
      <c r="E149" s="45"/>
      <c r="F149" s="54" t="str">
        <f aca="false">IF(B149="","",IFERROR(IF(OR(E149="",E149="All"),INDEX('Kitting Plan'!$E$5:$E$18,MATCH(B149,'Kitting Plan'!$C$5:$C$18,0)),INDEX('Kitting Plan'!$H$5:$H$18,MATCH(B149,'Kitting Plan'!$C$5:$C$18,0))),""))</f>
        <v/>
      </c>
      <c r="G149" s="45"/>
      <c r="H149" s="55" t="str">
        <f aca="false">IF(B149="","",IF(G149="",F149,G149))</f>
        <v/>
      </c>
      <c r="I149" s="45"/>
      <c r="J149" s="56"/>
      <c r="K149" s="46"/>
      <c r="L149" s="53" t="str">
        <f aca="false">IF(A149="","",IF(B149="","Missing code",IF(C149="Unknown code","Unknown code",IF(COUNTIF($A$6:$A$505,A149)&gt;1,"Duplicate WO",""))))</f>
        <v/>
      </c>
    </row>
    <row r="150" customFormat="false" ht="15" hidden="false" customHeight="false" outlineLevel="0" collapsed="false">
      <c r="A150" s="46"/>
      <c r="B150" s="46"/>
      <c r="C150" s="53" t="str">
        <f aca="false">IF(B150="","",IFERROR(INDEX('Kitting Plan'!$D$5:$D$18,MATCH(B150,'Kitting Plan'!$C$5:$C$18,0)),"Unknown code"))</f>
        <v/>
      </c>
      <c r="D150" s="53" t="str">
        <f aca="false">IF(B150="","",IFERROR(INDEX('Kitting Plan'!$B$5:$B$18,MATCH(B150,'Kitting Plan'!$C$5:$C$18,0)),""))</f>
        <v/>
      </c>
      <c r="E150" s="45"/>
      <c r="F150" s="54" t="str">
        <f aca="false">IF(B150="","",IFERROR(IF(OR(E150="",E150="All"),INDEX('Kitting Plan'!$E$5:$E$18,MATCH(B150,'Kitting Plan'!$C$5:$C$18,0)),INDEX('Kitting Plan'!$H$5:$H$18,MATCH(B150,'Kitting Plan'!$C$5:$C$18,0))),""))</f>
        <v/>
      </c>
      <c r="G150" s="45"/>
      <c r="H150" s="55" t="str">
        <f aca="false">IF(B150="","",IF(G150="",F150,G150))</f>
        <v/>
      </c>
      <c r="I150" s="45"/>
      <c r="J150" s="56"/>
      <c r="K150" s="46"/>
      <c r="L150" s="53" t="str">
        <f aca="false">IF(A150="","",IF(B150="","Missing code",IF(C150="Unknown code","Unknown code",IF(COUNTIF($A$6:$A$505,A150)&gt;1,"Duplicate WO",""))))</f>
        <v/>
      </c>
    </row>
    <row r="151" customFormat="false" ht="15" hidden="false" customHeight="false" outlineLevel="0" collapsed="false">
      <c r="A151" s="46"/>
      <c r="B151" s="46"/>
      <c r="C151" s="53" t="str">
        <f aca="false">IF(B151="","",IFERROR(INDEX('Kitting Plan'!$D$5:$D$18,MATCH(B151,'Kitting Plan'!$C$5:$C$18,0)),"Unknown code"))</f>
        <v/>
      </c>
      <c r="D151" s="53" t="str">
        <f aca="false">IF(B151="","",IFERROR(INDEX('Kitting Plan'!$B$5:$B$18,MATCH(B151,'Kitting Plan'!$C$5:$C$18,0)),""))</f>
        <v/>
      </c>
      <c r="E151" s="45"/>
      <c r="F151" s="54" t="str">
        <f aca="false">IF(B151="","",IFERROR(IF(OR(E151="",E151="All"),INDEX('Kitting Plan'!$E$5:$E$18,MATCH(B151,'Kitting Plan'!$C$5:$C$18,0)),INDEX('Kitting Plan'!$H$5:$H$18,MATCH(B151,'Kitting Plan'!$C$5:$C$18,0))),""))</f>
        <v/>
      </c>
      <c r="G151" s="45"/>
      <c r="H151" s="55" t="str">
        <f aca="false">IF(B151="","",IF(G151="",F151,G151))</f>
        <v/>
      </c>
      <c r="I151" s="45"/>
      <c r="J151" s="56"/>
      <c r="K151" s="46"/>
      <c r="L151" s="53" t="str">
        <f aca="false">IF(A151="","",IF(B151="","Missing code",IF(C151="Unknown code","Unknown code",IF(COUNTIF($A$6:$A$505,A151)&gt;1,"Duplicate WO",""))))</f>
        <v/>
      </c>
    </row>
    <row r="152" customFormat="false" ht="15" hidden="false" customHeight="false" outlineLevel="0" collapsed="false">
      <c r="A152" s="46"/>
      <c r="B152" s="46"/>
      <c r="C152" s="53" t="str">
        <f aca="false">IF(B152="","",IFERROR(INDEX('Kitting Plan'!$D$5:$D$18,MATCH(B152,'Kitting Plan'!$C$5:$C$18,0)),"Unknown code"))</f>
        <v/>
      </c>
      <c r="D152" s="53" t="str">
        <f aca="false">IF(B152="","",IFERROR(INDEX('Kitting Plan'!$B$5:$B$18,MATCH(B152,'Kitting Plan'!$C$5:$C$18,0)),""))</f>
        <v/>
      </c>
      <c r="E152" s="45"/>
      <c r="F152" s="54" t="str">
        <f aca="false">IF(B152="","",IFERROR(IF(OR(E152="",E152="All"),INDEX('Kitting Plan'!$E$5:$E$18,MATCH(B152,'Kitting Plan'!$C$5:$C$18,0)),INDEX('Kitting Plan'!$H$5:$H$18,MATCH(B152,'Kitting Plan'!$C$5:$C$18,0))),""))</f>
        <v/>
      </c>
      <c r="G152" s="45"/>
      <c r="H152" s="55" t="str">
        <f aca="false">IF(B152="","",IF(G152="",F152,G152))</f>
        <v/>
      </c>
      <c r="I152" s="45"/>
      <c r="J152" s="56"/>
      <c r="K152" s="46"/>
      <c r="L152" s="53" t="str">
        <f aca="false">IF(A152="","",IF(B152="","Missing code",IF(C152="Unknown code","Unknown code",IF(COUNTIF($A$6:$A$505,A152)&gt;1,"Duplicate WO",""))))</f>
        <v/>
      </c>
    </row>
    <row r="153" customFormat="false" ht="15" hidden="false" customHeight="false" outlineLevel="0" collapsed="false">
      <c r="A153" s="46"/>
      <c r="B153" s="46"/>
      <c r="C153" s="53" t="str">
        <f aca="false">IF(B153="","",IFERROR(INDEX('Kitting Plan'!$D$5:$D$18,MATCH(B153,'Kitting Plan'!$C$5:$C$18,0)),"Unknown code"))</f>
        <v/>
      </c>
      <c r="D153" s="53" t="str">
        <f aca="false">IF(B153="","",IFERROR(INDEX('Kitting Plan'!$B$5:$B$18,MATCH(B153,'Kitting Plan'!$C$5:$C$18,0)),""))</f>
        <v/>
      </c>
      <c r="E153" s="45"/>
      <c r="F153" s="54" t="str">
        <f aca="false">IF(B153="","",IFERROR(IF(OR(E153="",E153="All"),INDEX('Kitting Plan'!$E$5:$E$18,MATCH(B153,'Kitting Plan'!$C$5:$C$18,0)),INDEX('Kitting Plan'!$H$5:$H$18,MATCH(B153,'Kitting Plan'!$C$5:$C$18,0))),""))</f>
        <v/>
      </c>
      <c r="G153" s="45"/>
      <c r="H153" s="55" t="str">
        <f aca="false">IF(B153="","",IF(G153="",F153,G153))</f>
        <v/>
      </c>
      <c r="I153" s="45"/>
      <c r="J153" s="56"/>
      <c r="K153" s="46"/>
      <c r="L153" s="53" t="str">
        <f aca="false">IF(A153="","",IF(B153="","Missing code",IF(C153="Unknown code","Unknown code",IF(COUNTIF($A$6:$A$505,A153)&gt;1,"Duplicate WO",""))))</f>
        <v/>
      </c>
    </row>
    <row r="154" customFormat="false" ht="15" hidden="false" customHeight="false" outlineLevel="0" collapsed="false">
      <c r="A154" s="46"/>
      <c r="B154" s="46"/>
      <c r="C154" s="53" t="str">
        <f aca="false">IF(B154="","",IFERROR(INDEX('Kitting Plan'!$D$5:$D$18,MATCH(B154,'Kitting Plan'!$C$5:$C$18,0)),"Unknown code"))</f>
        <v/>
      </c>
      <c r="D154" s="53" t="str">
        <f aca="false">IF(B154="","",IFERROR(INDEX('Kitting Plan'!$B$5:$B$18,MATCH(B154,'Kitting Plan'!$C$5:$C$18,0)),""))</f>
        <v/>
      </c>
      <c r="E154" s="45"/>
      <c r="F154" s="54" t="str">
        <f aca="false">IF(B154="","",IFERROR(IF(OR(E154="",E154="All"),INDEX('Kitting Plan'!$E$5:$E$18,MATCH(B154,'Kitting Plan'!$C$5:$C$18,0)),INDEX('Kitting Plan'!$H$5:$H$18,MATCH(B154,'Kitting Plan'!$C$5:$C$18,0))),""))</f>
        <v/>
      </c>
      <c r="G154" s="45"/>
      <c r="H154" s="55" t="str">
        <f aca="false">IF(B154="","",IF(G154="",F154,G154))</f>
        <v/>
      </c>
      <c r="I154" s="45"/>
      <c r="J154" s="56"/>
      <c r="K154" s="46"/>
      <c r="L154" s="53" t="str">
        <f aca="false">IF(A154="","",IF(B154="","Missing code",IF(C154="Unknown code","Unknown code",IF(COUNTIF($A$6:$A$505,A154)&gt;1,"Duplicate WO",""))))</f>
        <v/>
      </c>
    </row>
    <row r="155" customFormat="false" ht="15" hidden="false" customHeight="false" outlineLevel="0" collapsed="false">
      <c r="A155" s="46"/>
      <c r="B155" s="46"/>
      <c r="C155" s="53" t="str">
        <f aca="false">IF(B155="","",IFERROR(INDEX('Kitting Plan'!$D$5:$D$18,MATCH(B155,'Kitting Plan'!$C$5:$C$18,0)),"Unknown code"))</f>
        <v/>
      </c>
      <c r="D155" s="53" t="str">
        <f aca="false">IF(B155="","",IFERROR(INDEX('Kitting Plan'!$B$5:$B$18,MATCH(B155,'Kitting Plan'!$C$5:$C$18,0)),""))</f>
        <v/>
      </c>
      <c r="E155" s="45"/>
      <c r="F155" s="54" t="str">
        <f aca="false">IF(B155="","",IFERROR(IF(OR(E155="",E155="All"),INDEX('Kitting Plan'!$E$5:$E$18,MATCH(B155,'Kitting Plan'!$C$5:$C$18,0)),INDEX('Kitting Plan'!$H$5:$H$18,MATCH(B155,'Kitting Plan'!$C$5:$C$18,0))),""))</f>
        <v/>
      </c>
      <c r="G155" s="45"/>
      <c r="H155" s="55" t="str">
        <f aca="false">IF(B155="","",IF(G155="",F155,G155))</f>
        <v/>
      </c>
      <c r="I155" s="45"/>
      <c r="J155" s="56"/>
      <c r="K155" s="46"/>
      <c r="L155" s="53" t="str">
        <f aca="false">IF(A155="","",IF(B155="","Missing code",IF(C155="Unknown code","Unknown code",IF(COUNTIF($A$6:$A$505,A155)&gt;1,"Duplicate WO",""))))</f>
        <v/>
      </c>
    </row>
    <row r="156" customFormat="false" ht="15" hidden="false" customHeight="false" outlineLevel="0" collapsed="false">
      <c r="A156" s="46"/>
      <c r="B156" s="46"/>
      <c r="C156" s="53" t="str">
        <f aca="false">IF(B156="","",IFERROR(INDEX('Kitting Plan'!$D$5:$D$18,MATCH(B156,'Kitting Plan'!$C$5:$C$18,0)),"Unknown code"))</f>
        <v/>
      </c>
      <c r="D156" s="53" t="str">
        <f aca="false">IF(B156="","",IFERROR(INDEX('Kitting Plan'!$B$5:$B$18,MATCH(B156,'Kitting Plan'!$C$5:$C$18,0)),""))</f>
        <v/>
      </c>
      <c r="E156" s="45"/>
      <c r="F156" s="54" t="str">
        <f aca="false">IF(B156="","",IFERROR(IF(OR(E156="",E156="All"),INDEX('Kitting Plan'!$E$5:$E$18,MATCH(B156,'Kitting Plan'!$C$5:$C$18,0)),INDEX('Kitting Plan'!$H$5:$H$18,MATCH(B156,'Kitting Plan'!$C$5:$C$18,0))),""))</f>
        <v/>
      </c>
      <c r="G156" s="45"/>
      <c r="H156" s="55" t="str">
        <f aca="false">IF(B156="","",IF(G156="",F156,G156))</f>
        <v/>
      </c>
      <c r="I156" s="45"/>
      <c r="J156" s="56"/>
      <c r="K156" s="46"/>
      <c r="L156" s="53" t="str">
        <f aca="false">IF(A156="","",IF(B156="","Missing code",IF(C156="Unknown code","Unknown code",IF(COUNTIF($A$6:$A$505,A156)&gt;1,"Duplicate WO",""))))</f>
        <v/>
      </c>
    </row>
    <row r="157" customFormat="false" ht="15" hidden="false" customHeight="false" outlineLevel="0" collapsed="false">
      <c r="A157" s="46"/>
      <c r="B157" s="46"/>
      <c r="C157" s="53" t="str">
        <f aca="false">IF(B157="","",IFERROR(INDEX('Kitting Plan'!$D$5:$D$18,MATCH(B157,'Kitting Plan'!$C$5:$C$18,0)),"Unknown code"))</f>
        <v/>
      </c>
      <c r="D157" s="53" t="str">
        <f aca="false">IF(B157="","",IFERROR(INDEX('Kitting Plan'!$B$5:$B$18,MATCH(B157,'Kitting Plan'!$C$5:$C$18,0)),""))</f>
        <v/>
      </c>
      <c r="E157" s="45"/>
      <c r="F157" s="54" t="str">
        <f aca="false">IF(B157="","",IFERROR(IF(OR(E157="",E157="All"),INDEX('Kitting Plan'!$E$5:$E$18,MATCH(B157,'Kitting Plan'!$C$5:$C$18,0)),INDEX('Kitting Plan'!$H$5:$H$18,MATCH(B157,'Kitting Plan'!$C$5:$C$18,0))),""))</f>
        <v/>
      </c>
      <c r="G157" s="45"/>
      <c r="H157" s="55" t="str">
        <f aca="false">IF(B157="","",IF(G157="",F157,G157))</f>
        <v/>
      </c>
      <c r="I157" s="45"/>
      <c r="J157" s="56"/>
      <c r="K157" s="46"/>
      <c r="L157" s="53" t="str">
        <f aca="false">IF(A157="","",IF(B157="","Missing code",IF(C157="Unknown code","Unknown code",IF(COUNTIF($A$6:$A$505,A157)&gt;1,"Duplicate WO",""))))</f>
        <v/>
      </c>
    </row>
    <row r="158" customFormat="false" ht="15" hidden="false" customHeight="false" outlineLevel="0" collapsed="false">
      <c r="A158" s="46"/>
      <c r="B158" s="46"/>
      <c r="C158" s="53" t="str">
        <f aca="false">IF(B158="","",IFERROR(INDEX('Kitting Plan'!$D$5:$D$18,MATCH(B158,'Kitting Plan'!$C$5:$C$18,0)),"Unknown code"))</f>
        <v/>
      </c>
      <c r="D158" s="53" t="str">
        <f aca="false">IF(B158="","",IFERROR(INDEX('Kitting Plan'!$B$5:$B$18,MATCH(B158,'Kitting Plan'!$C$5:$C$18,0)),""))</f>
        <v/>
      </c>
      <c r="E158" s="45"/>
      <c r="F158" s="54" t="str">
        <f aca="false">IF(B158="","",IFERROR(IF(OR(E158="",E158="All"),INDEX('Kitting Plan'!$E$5:$E$18,MATCH(B158,'Kitting Plan'!$C$5:$C$18,0)),INDEX('Kitting Plan'!$H$5:$H$18,MATCH(B158,'Kitting Plan'!$C$5:$C$18,0))),""))</f>
        <v/>
      </c>
      <c r="G158" s="45"/>
      <c r="H158" s="55" t="str">
        <f aca="false">IF(B158="","",IF(G158="",F158,G158))</f>
        <v/>
      </c>
      <c r="I158" s="45"/>
      <c r="J158" s="56"/>
      <c r="K158" s="46"/>
      <c r="L158" s="53" t="str">
        <f aca="false">IF(A158="","",IF(B158="","Missing code",IF(C158="Unknown code","Unknown code",IF(COUNTIF($A$6:$A$505,A158)&gt;1,"Duplicate WO",""))))</f>
        <v/>
      </c>
    </row>
    <row r="159" customFormat="false" ht="15" hidden="false" customHeight="false" outlineLevel="0" collapsed="false">
      <c r="A159" s="46"/>
      <c r="B159" s="46"/>
      <c r="C159" s="53" t="str">
        <f aca="false">IF(B159="","",IFERROR(INDEX('Kitting Plan'!$D$5:$D$18,MATCH(B159,'Kitting Plan'!$C$5:$C$18,0)),"Unknown code"))</f>
        <v/>
      </c>
      <c r="D159" s="53" t="str">
        <f aca="false">IF(B159="","",IFERROR(INDEX('Kitting Plan'!$B$5:$B$18,MATCH(B159,'Kitting Plan'!$C$5:$C$18,0)),""))</f>
        <v/>
      </c>
      <c r="E159" s="45"/>
      <c r="F159" s="54" t="str">
        <f aca="false">IF(B159="","",IFERROR(IF(OR(E159="",E159="All"),INDEX('Kitting Plan'!$E$5:$E$18,MATCH(B159,'Kitting Plan'!$C$5:$C$18,0)),INDEX('Kitting Plan'!$H$5:$H$18,MATCH(B159,'Kitting Plan'!$C$5:$C$18,0))),""))</f>
        <v/>
      </c>
      <c r="G159" s="45"/>
      <c r="H159" s="55" t="str">
        <f aca="false">IF(B159="","",IF(G159="",F159,G159))</f>
        <v/>
      </c>
      <c r="I159" s="45"/>
      <c r="J159" s="56"/>
      <c r="K159" s="46"/>
      <c r="L159" s="53" t="str">
        <f aca="false">IF(A159="","",IF(B159="","Missing code",IF(C159="Unknown code","Unknown code",IF(COUNTIF($A$6:$A$505,A159)&gt;1,"Duplicate WO",""))))</f>
        <v/>
      </c>
    </row>
    <row r="160" customFormat="false" ht="15" hidden="false" customHeight="false" outlineLevel="0" collapsed="false">
      <c r="A160" s="46"/>
      <c r="B160" s="46"/>
      <c r="C160" s="53" t="str">
        <f aca="false">IF(B160="","",IFERROR(INDEX('Kitting Plan'!$D$5:$D$18,MATCH(B160,'Kitting Plan'!$C$5:$C$18,0)),"Unknown code"))</f>
        <v/>
      </c>
      <c r="D160" s="53" t="str">
        <f aca="false">IF(B160="","",IFERROR(INDEX('Kitting Plan'!$B$5:$B$18,MATCH(B160,'Kitting Plan'!$C$5:$C$18,0)),""))</f>
        <v/>
      </c>
      <c r="E160" s="45"/>
      <c r="F160" s="54" t="str">
        <f aca="false">IF(B160="","",IFERROR(IF(OR(E160="",E160="All"),INDEX('Kitting Plan'!$E$5:$E$18,MATCH(B160,'Kitting Plan'!$C$5:$C$18,0)),INDEX('Kitting Plan'!$H$5:$H$18,MATCH(B160,'Kitting Plan'!$C$5:$C$18,0))),""))</f>
        <v/>
      </c>
      <c r="G160" s="45"/>
      <c r="H160" s="55" t="str">
        <f aca="false">IF(B160="","",IF(G160="",F160,G160))</f>
        <v/>
      </c>
      <c r="I160" s="45"/>
      <c r="J160" s="56"/>
      <c r="K160" s="46"/>
      <c r="L160" s="53" t="str">
        <f aca="false">IF(A160="","",IF(B160="","Missing code",IF(C160="Unknown code","Unknown code",IF(COUNTIF($A$6:$A$505,A160)&gt;1,"Duplicate WO",""))))</f>
        <v/>
      </c>
    </row>
    <row r="161" customFormat="false" ht="15" hidden="false" customHeight="false" outlineLevel="0" collapsed="false">
      <c r="A161" s="46"/>
      <c r="B161" s="46"/>
      <c r="C161" s="53" t="str">
        <f aca="false">IF(B161="","",IFERROR(INDEX('Kitting Plan'!$D$5:$D$18,MATCH(B161,'Kitting Plan'!$C$5:$C$18,0)),"Unknown code"))</f>
        <v/>
      </c>
      <c r="D161" s="53" t="str">
        <f aca="false">IF(B161="","",IFERROR(INDEX('Kitting Plan'!$B$5:$B$18,MATCH(B161,'Kitting Plan'!$C$5:$C$18,0)),""))</f>
        <v/>
      </c>
      <c r="E161" s="45"/>
      <c r="F161" s="54" t="str">
        <f aca="false">IF(B161="","",IFERROR(IF(OR(E161="",E161="All"),INDEX('Kitting Plan'!$E$5:$E$18,MATCH(B161,'Kitting Plan'!$C$5:$C$18,0)),INDEX('Kitting Plan'!$H$5:$H$18,MATCH(B161,'Kitting Plan'!$C$5:$C$18,0))),""))</f>
        <v/>
      </c>
      <c r="G161" s="45"/>
      <c r="H161" s="55" t="str">
        <f aca="false">IF(B161="","",IF(G161="",F161,G161))</f>
        <v/>
      </c>
      <c r="I161" s="45"/>
      <c r="J161" s="56"/>
      <c r="K161" s="46"/>
      <c r="L161" s="53" t="str">
        <f aca="false">IF(A161="","",IF(B161="","Missing code",IF(C161="Unknown code","Unknown code",IF(COUNTIF($A$6:$A$505,A161)&gt;1,"Duplicate WO",""))))</f>
        <v/>
      </c>
    </row>
    <row r="162" customFormat="false" ht="15" hidden="false" customHeight="false" outlineLevel="0" collapsed="false">
      <c r="A162" s="46"/>
      <c r="B162" s="46"/>
      <c r="C162" s="53" t="str">
        <f aca="false">IF(B162="","",IFERROR(INDEX('Kitting Plan'!$D$5:$D$18,MATCH(B162,'Kitting Plan'!$C$5:$C$18,0)),"Unknown code"))</f>
        <v/>
      </c>
      <c r="D162" s="53" t="str">
        <f aca="false">IF(B162="","",IFERROR(INDEX('Kitting Plan'!$B$5:$B$18,MATCH(B162,'Kitting Plan'!$C$5:$C$18,0)),""))</f>
        <v/>
      </c>
      <c r="E162" s="45"/>
      <c r="F162" s="54" t="str">
        <f aca="false">IF(B162="","",IFERROR(IF(OR(E162="",E162="All"),INDEX('Kitting Plan'!$E$5:$E$18,MATCH(B162,'Kitting Plan'!$C$5:$C$18,0)),INDEX('Kitting Plan'!$H$5:$H$18,MATCH(B162,'Kitting Plan'!$C$5:$C$18,0))),""))</f>
        <v/>
      </c>
      <c r="G162" s="45"/>
      <c r="H162" s="55" t="str">
        <f aca="false">IF(B162="","",IF(G162="",F162,G162))</f>
        <v/>
      </c>
      <c r="I162" s="45"/>
      <c r="J162" s="56"/>
      <c r="K162" s="46"/>
      <c r="L162" s="53" t="str">
        <f aca="false">IF(A162="","",IF(B162="","Missing code",IF(C162="Unknown code","Unknown code",IF(COUNTIF($A$6:$A$505,A162)&gt;1,"Duplicate WO",""))))</f>
        <v/>
      </c>
    </row>
    <row r="163" customFormat="false" ht="15" hidden="false" customHeight="false" outlineLevel="0" collapsed="false">
      <c r="A163" s="46"/>
      <c r="B163" s="46"/>
      <c r="C163" s="53" t="str">
        <f aca="false">IF(B163="","",IFERROR(INDEX('Kitting Plan'!$D$5:$D$18,MATCH(B163,'Kitting Plan'!$C$5:$C$18,0)),"Unknown code"))</f>
        <v/>
      </c>
      <c r="D163" s="53" t="str">
        <f aca="false">IF(B163="","",IFERROR(INDEX('Kitting Plan'!$B$5:$B$18,MATCH(B163,'Kitting Plan'!$C$5:$C$18,0)),""))</f>
        <v/>
      </c>
      <c r="E163" s="45"/>
      <c r="F163" s="54" t="str">
        <f aca="false">IF(B163="","",IFERROR(IF(OR(E163="",E163="All"),INDEX('Kitting Plan'!$E$5:$E$18,MATCH(B163,'Kitting Plan'!$C$5:$C$18,0)),INDEX('Kitting Plan'!$H$5:$H$18,MATCH(B163,'Kitting Plan'!$C$5:$C$18,0))),""))</f>
        <v/>
      </c>
      <c r="G163" s="45"/>
      <c r="H163" s="55" t="str">
        <f aca="false">IF(B163="","",IF(G163="",F163,G163))</f>
        <v/>
      </c>
      <c r="I163" s="45"/>
      <c r="J163" s="56"/>
      <c r="K163" s="46"/>
      <c r="L163" s="53" t="str">
        <f aca="false">IF(A163="","",IF(B163="","Missing code",IF(C163="Unknown code","Unknown code",IF(COUNTIF($A$6:$A$505,A163)&gt;1,"Duplicate WO",""))))</f>
        <v/>
      </c>
    </row>
    <row r="164" customFormat="false" ht="15" hidden="false" customHeight="false" outlineLevel="0" collapsed="false">
      <c r="A164" s="46"/>
      <c r="B164" s="46"/>
      <c r="C164" s="53" t="str">
        <f aca="false">IF(B164="","",IFERROR(INDEX('Kitting Plan'!$D$5:$D$18,MATCH(B164,'Kitting Plan'!$C$5:$C$18,0)),"Unknown code"))</f>
        <v/>
      </c>
      <c r="D164" s="53" t="str">
        <f aca="false">IF(B164="","",IFERROR(INDEX('Kitting Plan'!$B$5:$B$18,MATCH(B164,'Kitting Plan'!$C$5:$C$18,0)),""))</f>
        <v/>
      </c>
      <c r="E164" s="45"/>
      <c r="F164" s="54" t="str">
        <f aca="false">IF(B164="","",IFERROR(IF(OR(E164="",E164="All"),INDEX('Kitting Plan'!$E$5:$E$18,MATCH(B164,'Kitting Plan'!$C$5:$C$18,0)),INDEX('Kitting Plan'!$H$5:$H$18,MATCH(B164,'Kitting Plan'!$C$5:$C$18,0))),""))</f>
        <v/>
      </c>
      <c r="G164" s="45"/>
      <c r="H164" s="55" t="str">
        <f aca="false">IF(B164="","",IF(G164="",F164,G164))</f>
        <v/>
      </c>
      <c r="I164" s="45"/>
      <c r="J164" s="56"/>
      <c r="K164" s="46"/>
      <c r="L164" s="53" t="str">
        <f aca="false">IF(A164="","",IF(B164="","Missing code",IF(C164="Unknown code","Unknown code",IF(COUNTIF($A$6:$A$505,A164)&gt;1,"Duplicate WO",""))))</f>
        <v/>
      </c>
    </row>
    <row r="165" customFormat="false" ht="15" hidden="false" customHeight="false" outlineLevel="0" collapsed="false">
      <c r="A165" s="46"/>
      <c r="B165" s="46"/>
      <c r="C165" s="53" t="str">
        <f aca="false">IF(B165="","",IFERROR(INDEX('Kitting Plan'!$D$5:$D$18,MATCH(B165,'Kitting Plan'!$C$5:$C$18,0)),"Unknown code"))</f>
        <v/>
      </c>
      <c r="D165" s="53" t="str">
        <f aca="false">IF(B165="","",IFERROR(INDEX('Kitting Plan'!$B$5:$B$18,MATCH(B165,'Kitting Plan'!$C$5:$C$18,0)),""))</f>
        <v/>
      </c>
      <c r="E165" s="45"/>
      <c r="F165" s="54" t="str">
        <f aca="false">IF(B165="","",IFERROR(IF(OR(E165="",E165="All"),INDEX('Kitting Plan'!$E$5:$E$18,MATCH(B165,'Kitting Plan'!$C$5:$C$18,0)),INDEX('Kitting Plan'!$H$5:$H$18,MATCH(B165,'Kitting Plan'!$C$5:$C$18,0))),""))</f>
        <v/>
      </c>
      <c r="G165" s="45"/>
      <c r="H165" s="55" t="str">
        <f aca="false">IF(B165="","",IF(G165="",F165,G165))</f>
        <v/>
      </c>
      <c r="I165" s="45"/>
      <c r="J165" s="56"/>
      <c r="K165" s="46"/>
      <c r="L165" s="53" t="str">
        <f aca="false">IF(A165="","",IF(B165="","Missing code",IF(C165="Unknown code","Unknown code",IF(COUNTIF($A$6:$A$505,A165)&gt;1,"Duplicate WO",""))))</f>
        <v/>
      </c>
    </row>
    <row r="166" customFormat="false" ht="15" hidden="false" customHeight="false" outlineLevel="0" collapsed="false">
      <c r="A166" s="46"/>
      <c r="B166" s="46"/>
      <c r="C166" s="53" t="str">
        <f aca="false">IF(B166="","",IFERROR(INDEX('Kitting Plan'!$D$5:$D$18,MATCH(B166,'Kitting Plan'!$C$5:$C$18,0)),"Unknown code"))</f>
        <v/>
      </c>
      <c r="D166" s="53" t="str">
        <f aca="false">IF(B166="","",IFERROR(INDEX('Kitting Plan'!$B$5:$B$18,MATCH(B166,'Kitting Plan'!$C$5:$C$18,0)),""))</f>
        <v/>
      </c>
      <c r="E166" s="45"/>
      <c r="F166" s="54" t="str">
        <f aca="false">IF(B166="","",IFERROR(IF(OR(E166="",E166="All"),INDEX('Kitting Plan'!$E$5:$E$18,MATCH(B166,'Kitting Plan'!$C$5:$C$18,0)),INDEX('Kitting Plan'!$H$5:$H$18,MATCH(B166,'Kitting Plan'!$C$5:$C$18,0))),""))</f>
        <v/>
      </c>
      <c r="G166" s="45"/>
      <c r="H166" s="55" t="str">
        <f aca="false">IF(B166="","",IF(G166="",F166,G166))</f>
        <v/>
      </c>
      <c r="I166" s="45"/>
      <c r="J166" s="56"/>
      <c r="K166" s="46"/>
      <c r="L166" s="53" t="str">
        <f aca="false">IF(A166="","",IF(B166="","Missing code",IF(C166="Unknown code","Unknown code",IF(COUNTIF($A$6:$A$505,A166)&gt;1,"Duplicate WO",""))))</f>
        <v/>
      </c>
    </row>
    <row r="167" customFormat="false" ht="15" hidden="false" customHeight="false" outlineLevel="0" collapsed="false">
      <c r="A167" s="46"/>
      <c r="B167" s="46"/>
      <c r="C167" s="53" t="str">
        <f aca="false">IF(B167="","",IFERROR(INDEX('Kitting Plan'!$D$5:$D$18,MATCH(B167,'Kitting Plan'!$C$5:$C$18,0)),"Unknown code"))</f>
        <v/>
      </c>
      <c r="D167" s="53" t="str">
        <f aca="false">IF(B167="","",IFERROR(INDEX('Kitting Plan'!$B$5:$B$18,MATCH(B167,'Kitting Plan'!$C$5:$C$18,0)),""))</f>
        <v/>
      </c>
      <c r="E167" s="45"/>
      <c r="F167" s="54" t="str">
        <f aca="false">IF(B167="","",IFERROR(IF(OR(E167="",E167="All"),INDEX('Kitting Plan'!$E$5:$E$18,MATCH(B167,'Kitting Plan'!$C$5:$C$18,0)),INDEX('Kitting Plan'!$H$5:$H$18,MATCH(B167,'Kitting Plan'!$C$5:$C$18,0))),""))</f>
        <v/>
      </c>
      <c r="G167" s="45"/>
      <c r="H167" s="55" t="str">
        <f aca="false">IF(B167="","",IF(G167="",F167,G167))</f>
        <v/>
      </c>
      <c r="I167" s="45"/>
      <c r="J167" s="56"/>
      <c r="K167" s="46"/>
      <c r="L167" s="53" t="str">
        <f aca="false">IF(A167="","",IF(B167="","Missing code",IF(C167="Unknown code","Unknown code",IF(COUNTIF($A$6:$A$505,A167)&gt;1,"Duplicate WO",""))))</f>
        <v/>
      </c>
    </row>
    <row r="168" customFormat="false" ht="15" hidden="false" customHeight="false" outlineLevel="0" collapsed="false">
      <c r="A168" s="46"/>
      <c r="B168" s="46"/>
      <c r="C168" s="53" t="str">
        <f aca="false">IF(B168="","",IFERROR(INDEX('Kitting Plan'!$D$5:$D$18,MATCH(B168,'Kitting Plan'!$C$5:$C$18,0)),"Unknown code"))</f>
        <v/>
      </c>
      <c r="D168" s="53" t="str">
        <f aca="false">IF(B168="","",IFERROR(INDEX('Kitting Plan'!$B$5:$B$18,MATCH(B168,'Kitting Plan'!$C$5:$C$18,0)),""))</f>
        <v/>
      </c>
      <c r="E168" s="45"/>
      <c r="F168" s="54" t="str">
        <f aca="false">IF(B168="","",IFERROR(IF(OR(E168="",E168="All"),INDEX('Kitting Plan'!$E$5:$E$18,MATCH(B168,'Kitting Plan'!$C$5:$C$18,0)),INDEX('Kitting Plan'!$H$5:$H$18,MATCH(B168,'Kitting Plan'!$C$5:$C$18,0))),""))</f>
        <v/>
      </c>
      <c r="G168" s="45"/>
      <c r="H168" s="55" t="str">
        <f aca="false">IF(B168="","",IF(G168="",F168,G168))</f>
        <v/>
      </c>
      <c r="I168" s="45"/>
      <c r="J168" s="56"/>
      <c r="K168" s="46"/>
      <c r="L168" s="53" t="str">
        <f aca="false">IF(A168="","",IF(B168="","Missing code",IF(C168="Unknown code","Unknown code",IF(COUNTIF($A$6:$A$505,A168)&gt;1,"Duplicate WO",""))))</f>
        <v/>
      </c>
    </row>
    <row r="169" customFormat="false" ht="15" hidden="false" customHeight="false" outlineLevel="0" collapsed="false">
      <c r="A169" s="46"/>
      <c r="B169" s="46"/>
      <c r="C169" s="53" t="str">
        <f aca="false">IF(B169="","",IFERROR(INDEX('Kitting Plan'!$D$5:$D$18,MATCH(B169,'Kitting Plan'!$C$5:$C$18,0)),"Unknown code"))</f>
        <v/>
      </c>
      <c r="D169" s="53" t="str">
        <f aca="false">IF(B169="","",IFERROR(INDEX('Kitting Plan'!$B$5:$B$18,MATCH(B169,'Kitting Plan'!$C$5:$C$18,0)),""))</f>
        <v/>
      </c>
      <c r="E169" s="45"/>
      <c r="F169" s="54" t="str">
        <f aca="false">IF(B169="","",IFERROR(IF(OR(E169="",E169="All"),INDEX('Kitting Plan'!$E$5:$E$18,MATCH(B169,'Kitting Plan'!$C$5:$C$18,0)),INDEX('Kitting Plan'!$H$5:$H$18,MATCH(B169,'Kitting Plan'!$C$5:$C$18,0))),""))</f>
        <v/>
      </c>
      <c r="G169" s="45"/>
      <c r="H169" s="55" t="str">
        <f aca="false">IF(B169="","",IF(G169="",F169,G169))</f>
        <v/>
      </c>
      <c r="I169" s="45"/>
      <c r="J169" s="56"/>
      <c r="K169" s="46"/>
      <c r="L169" s="53" t="str">
        <f aca="false">IF(A169="","",IF(B169="","Missing code",IF(C169="Unknown code","Unknown code",IF(COUNTIF($A$6:$A$505,A169)&gt;1,"Duplicate WO",""))))</f>
        <v/>
      </c>
    </row>
    <row r="170" customFormat="false" ht="15" hidden="false" customHeight="false" outlineLevel="0" collapsed="false">
      <c r="A170" s="46"/>
      <c r="B170" s="46"/>
      <c r="C170" s="53" t="str">
        <f aca="false">IF(B170="","",IFERROR(INDEX('Kitting Plan'!$D$5:$D$18,MATCH(B170,'Kitting Plan'!$C$5:$C$18,0)),"Unknown code"))</f>
        <v/>
      </c>
      <c r="D170" s="53" t="str">
        <f aca="false">IF(B170="","",IFERROR(INDEX('Kitting Plan'!$B$5:$B$18,MATCH(B170,'Kitting Plan'!$C$5:$C$18,0)),""))</f>
        <v/>
      </c>
      <c r="E170" s="45"/>
      <c r="F170" s="54" t="str">
        <f aca="false">IF(B170="","",IFERROR(IF(OR(E170="",E170="All"),INDEX('Kitting Plan'!$E$5:$E$18,MATCH(B170,'Kitting Plan'!$C$5:$C$18,0)),INDEX('Kitting Plan'!$H$5:$H$18,MATCH(B170,'Kitting Plan'!$C$5:$C$18,0))),""))</f>
        <v/>
      </c>
      <c r="G170" s="45"/>
      <c r="H170" s="55" t="str">
        <f aca="false">IF(B170="","",IF(G170="",F170,G170))</f>
        <v/>
      </c>
      <c r="I170" s="45"/>
      <c r="J170" s="56"/>
      <c r="K170" s="46"/>
      <c r="L170" s="53" t="str">
        <f aca="false">IF(A170="","",IF(B170="","Missing code",IF(C170="Unknown code","Unknown code",IF(COUNTIF($A$6:$A$505,A170)&gt;1,"Duplicate WO",""))))</f>
        <v/>
      </c>
    </row>
    <row r="171" customFormat="false" ht="15" hidden="false" customHeight="false" outlineLevel="0" collapsed="false">
      <c r="A171" s="46"/>
      <c r="B171" s="46"/>
      <c r="C171" s="53" t="str">
        <f aca="false">IF(B171="","",IFERROR(INDEX('Kitting Plan'!$D$5:$D$18,MATCH(B171,'Kitting Plan'!$C$5:$C$18,0)),"Unknown code"))</f>
        <v/>
      </c>
      <c r="D171" s="53" t="str">
        <f aca="false">IF(B171="","",IFERROR(INDEX('Kitting Plan'!$B$5:$B$18,MATCH(B171,'Kitting Plan'!$C$5:$C$18,0)),""))</f>
        <v/>
      </c>
      <c r="E171" s="45"/>
      <c r="F171" s="54" t="str">
        <f aca="false">IF(B171="","",IFERROR(IF(OR(E171="",E171="All"),INDEX('Kitting Plan'!$E$5:$E$18,MATCH(B171,'Kitting Plan'!$C$5:$C$18,0)),INDEX('Kitting Plan'!$H$5:$H$18,MATCH(B171,'Kitting Plan'!$C$5:$C$18,0))),""))</f>
        <v/>
      </c>
      <c r="G171" s="45"/>
      <c r="H171" s="55" t="str">
        <f aca="false">IF(B171="","",IF(G171="",F171,G171))</f>
        <v/>
      </c>
      <c r="I171" s="45"/>
      <c r="J171" s="56"/>
      <c r="K171" s="46"/>
      <c r="L171" s="53" t="str">
        <f aca="false">IF(A171="","",IF(B171="","Missing code",IF(C171="Unknown code","Unknown code",IF(COUNTIF($A$6:$A$505,A171)&gt;1,"Duplicate WO",""))))</f>
        <v/>
      </c>
    </row>
    <row r="172" customFormat="false" ht="15" hidden="false" customHeight="false" outlineLevel="0" collapsed="false">
      <c r="A172" s="46"/>
      <c r="B172" s="46"/>
      <c r="C172" s="53" t="str">
        <f aca="false">IF(B172="","",IFERROR(INDEX('Kitting Plan'!$D$5:$D$18,MATCH(B172,'Kitting Plan'!$C$5:$C$18,0)),"Unknown code"))</f>
        <v/>
      </c>
      <c r="D172" s="53" t="str">
        <f aca="false">IF(B172="","",IFERROR(INDEX('Kitting Plan'!$B$5:$B$18,MATCH(B172,'Kitting Plan'!$C$5:$C$18,0)),""))</f>
        <v/>
      </c>
      <c r="E172" s="45"/>
      <c r="F172" s="54" t="str">
        <f aca="false">IF(B172="","",IFERROR(IF(OR(E172="",E172="All"),INDEX('Kitting Plan'!$E$5:$E$18,MATCH(B172,'Kitting Plan'!$C$5:$C$18,0)),INDEX('Kitting Plan'!$H$5:$H$18,MATCH(B172,'Kitting Plan'!$C$5:$C$18,0))),""))</f>
        <v/>
      </c>
      <c r="G172" s="45"/>
      <c r="H172" s="55" t="str">
        <f aca="false">IF(B172="","",IF(G172="",F172,G172))</f>
        <v/>
      </c>
      <c r="I172" s="45"/>
      <c r="J172" s="56"/>
      <c r="K172" s="46"/>
      <c r="L172" s="53" t="str">
        <f aca="false">IF(A172="","",IF(B172="","Missing code",IF(C172="Unknown code","Unknown code",IF(COUNTIF($A$6:$A$505,A172)&gt;1,"Duplicate WO",""))))</f>
        <v/>
      </c>
    </row>
    <row r="173" customFormat="false" ht="15" hidden="false" customHeight="false" outlineLevel="0" collapsed="false">
      <c r="A173" s="46"/>
      <c r="B173" s="46"/>
      <c r="C173" s="53" t="str">
        <f aca="false">IF(B173="","",IFERROR(INDEX('Kitting Plan'!$D$5:$D$18,MATCH(B173,'Kitting Plan'!$C$5:$C$18,0)),"Unknown code"))</f>
        <v/>
      </c>
      <c r="D173" s="53" t="str">
        <f aca="false">IF(B173="","",IFERROR(INDEX('Kitting Plan'!$B$5:$B$18,MATCH(B173,'Kitting Plan'!$C$5:$C$18,0)),""))</f>
        <v/>
      </c>
      <c r="E173" s="45"/>
      <c r="F173" s="54" t="str">
        <f aca="false">IF(B173="","",IFERROR(IF(OR(E173="",E173="All"),INDEX('Kitting Plan'!$E$5:$E$18,MATCH(B173,'Kitting Plan'!$C$5:$C$18,0)),INDEX('Kitting Plan'!$H$5:$H$18,MATCH(B173,'Kitting Plan'!$C$5:$C$18,0))),""))</f>
        <v/>
      </c>
      <c r="G173" s="45"/>
      <c r="H173" s="55" t="str">
        <f aca="false">IF(B173="","",IF(G173="",F173,G173))</f>
        <v/>
      </c>
      <c r="I173" s="45"/>
      <c r="J173" s="56"/>
      <c r="K173" s="46"/>
      <c r="L173" s="53" t="str">
        <f aca="false">IF(A173="","",IF(B173="","Missing code",IF(C173="Unknown code","Unknown code",IF(COUNTIF($A$6:$A$505,A173)&gt;1,"Duplicate WO",""))))</f>
        <v/>
      </c>
    </row>
    <row r="174" customFormat="false" ht="15" hidden="false" customHeight="false" outlineLevel="0" collapsed="false">
      <c r="A174" s="46"/>
      <c r="B174" s="46"/>
      <c r="C174" s="53" t="str">
        <f aca="false">IF(B174="","",IFERROR(INDEX('Kitting Plan'!$D$5:$D$18,MATCH(B174,'Kitting Plan'!$C$5:$C$18,0)),"Unknown code"))</f>
        <v/>
      </c>
      <c r="D174" s="53" t="str">
        <f aca="false">IF(B174="","",IFERROR(INDEX('Kitting Plan'!$B$5:$B$18,MATCH(B174,'Kitting Plan'!$C$5:$C$18,0)),""))</f>
        <v/>
      </c>
      <c r="E174" s="45"/>
      <c r="F174" s="54" t="str">
        <f aca="false">IF(B174="","",IFERROR(IF(OR(E174="",E174="All"),INDEX('Kitting Plan'!$E$5:$E$18,MATCH(B174,'Kitting Plan'!$C$5:$C$18,0)),INDEX('Kitting Plan'!$H$5:$H$18,MATCH(B174,'Kitting Plan'!$C$5:$C$18,0))),""))</f>
        <v/>
      </c>
      <c r="G174" s="45"/>
      <c r="H174" s="55" t="str">
        <f aca="false">IF(B174="","",IF(G174="",F174,G174))</f>
        <v/>
      </c>
      <c r="I174" s="45"/>
      <c r="J174" s="56"/>
      <c r="K174" s="46"/>
      <c r="L174" s="53" t="str">
        <f aca="false">IF(A174="","",IF(B174="","Missing code",IF(C174="Unknown code","Unknown code",IF(COUNTIF($A$6:$A$505,A174)&gt;1,"Duplicate WO",""))))</f>
        <v/>
      </c>
    </row>
    <row r="175" customFormat="false" ht="15" hidden="false" customHeight="false" outlineLevel="0" collapsed="false">
      <c r="A175" s="46"/>
      <c r="B175" s="46"/>
      <c r="C175" s="53" t="str">
        <f aca="false">IF(B175="","",IFERROR(INDEX('Kitting Plan'!$D$5:$D$18,MATCH(B175,'Kitting Plan'!$C$5:$C$18,0)),"Unknown code"))</f>
        <v/>
      </c>
      <c r="D175" s="53" t="str">
        <f aca="false">IF(B175="","",IFERROR(INDEX('Kitting Plan'!$B$5:$B$18,MATCH(B175,'Kitting Plan'!$C$5:$C$18,0)),""))</f>
        <v/>
      </c>
      <c r="E175" s="45"/>
      <c r="F175" s="54" t="str">
        <f aca="false">IF(B175="","",IFERROR(IF(OR(E175="",E175="All"),INDEX('Kitting Plan'!$E$5:$E$18,MATCH(B175,'Kitting Plan'!$C$5:$C$18,0)),INDEX('Kitting Plan'!$H$5:$H$18,MATCH(B175,'Kitting Plan'!$C$5:$C$18,0))),""))</f>
        <v/>
      </c>
      <c r="G175" s="45"/>
      <c r="H175" s="55" t="str">
        <f aca="false">IF(B175="","",IF(G175="",F175,G175))</f>
        <v/>
      </c>
      <c r="I175" s="45"/>
      <c r="J175" s="56"/>
      <c r="K175" s="46"/>
      <c r="L175" s="53" t="str">
        <f aca="false">IF(A175="","",IF(B175="","Missing code",IF(C175="Unknown code","Unknown code",IF(COUNTIF($A$6:$A$505,A175)&gt;1,"Duplicate WO",""))))</f>
        <v/>
      </c>
    </row>
    <row r="176" customFormat="false" ht="15" hidden="false" customHeight="false" outlineLevel="0" collapsed="false">
      <c r="A176" s="46"/>
      <c r="B176" s="46"/>
      <c r="C176" s="53" t="str">
        <f aca="false">IF(B176="","",IFERROR(INDEX('Kitting Plan'!$D$5:$D$18,MATCH(B176,'Kitting Plan'!$C$5:$C$18,0)),"Unknown code"))</f>
        <v/>
      </c>
      <c r="D176" s="53" t="str">
        <f aca="false">IF(B176="","",IFERROR(INDEX('Kitting Plan'!$B$5:$B$18,MATCH(B176,'Kitting Plan'!$C$5:$C$18,0)),""))</f>
        <v/>
      </c>
      <c r="E176" s="45"/>
      <c r="F176" s="54" t="str">
        <f aca="false">IF(B176="","",IFERROR(IF(OR(E176="",E176="All"),INDEX('Kitting Plan'!$E$5:$E$18,MATCH(B176,'Kitting Plan'!$C$5:$C$18,0)),INDEX('Kitting Plan'!$H$5:$H$18,MATCH(B176,'Kitting Plan'!$C$5:$C$18,0))),""))</f>
        <v/>
      </c>
      <c r="G176" s="45"/>
      <c r="H176" s="55" t="str">
        <f aca="false">IF(B176="","",IF(G176="",F176,G176))</f>
        <v/>
      </c>
      <c r="I176" s="45"/>
      <c r="J176" s="56"/>
      <c r="K176" s="46"/>
      <c r="L176" s="53" t="str">
        <f aca="false">IF(A176="","",IF(B176="","Missing code",IF(C176="Unknown code","Unknown code",IF(COUNTIF($A$6:$A$505,A176)&gt;1,"Duplicate WO",""))))</f>
        <v/>
      </c>
    </row>
    <row r="177" customFormat="false" ht="15" hidden="false" customHeight="false" outlineLevel="0" collapsed="false">
      <c r="A177" s="46"/>
      <c r="B177" s="46"/>
      <c r="C177" s="53" t="str">
        <f aca="false">IF(B177="","",IFERROR(INDEX('Kitting Plan'!$D$5:$D$18,MATCH(B177,'Kitting Plan'!$C$5:$C$18,0)),"Unknown code"))</f>
        <v/>
      </c>
      <c r="D177" s="53" t="str">
        <f aca="false">IF(B177="","",IFERROR(INDEX('Kitting Plan'!$B$5:$B$18,MATCH(B177,'Kitting Plan'!$C$5:$C$18,0)),""))</f>
        <v/>
      </c>
      <c r="E177" s="45"/>
      <c r="F177" s="54" t="str">
        <f aca="false">IF(B177="","",IFERROR(IF(OR(E177="",E177="All"),INDEX('Kitting Plan'!$E$5:$E$18,MATCH(B177,'Kitting Plan'!$C$5:$C$18,0)),INDEX('Kitting Plan'!$H$5:$H$18,MATCH(B177,'Kitting Plan'!$C$5:$C$18,0))),""))</f>
        <v/>
      </c>
      <c r="G177" s="45"/>
      <c r="H177" s="55" t="str">
        <f aca="false">IF(B177="","",IF(G177="",F177,G177))</f>
        <v/>
      </c>
      <c r="I177" s="45"/>
      <c r="J177" s="56"/>
      <c r="K177" s="46"/>
      <c r="L177" s="53" t="str">
        <f aca="false">IF(A177="","",IF(B177="","Missing code",IF(C177="Unknown code","Unknown code",IF(COUNTIF($A$6:$A$505,A177)&gt;1,"Duplicate WO",""))))</f>
        <v/>
      </c>
    </row>
    <row r="178" customFormat="false" ht="15" hidden="false" customHeight="false" outlineLevel="0" collapsed="false">
      <c r="A178" s="46"/>
      <c r="B178" s="46"/>
      <c r="C178" s="53" t="str">
        <f aca="false">IF(B178="","",IFERROR(INDEX('Kitting Plan'!$D$5:$D$18,MATCH(B178,'Kitting Plan'!$C$5:$C$18,0)),"Unknown code"))</f>
        <v/>
      </c>
      <c r="D178" s="53" t="str">
        <f aca="false">IF(B178="","",IFERROR(INDEX('Kitting Plan'!$B$5:$B$18,MATCH(B178,'Kitting Plan'!$C$5:$C$18,0)),""))</f>
        <v/>
      </c>
      <c r="E178" s="45"/>
      <c r="F178" s="54" t="str">
        <f aca="false">IF(B178="","",IFERROR(IF(OR(E178="",E178="All"),INDEX('Kitting Plan'!$E$5:$E$18,MATCH(B178,'Kitting Plan'!$C$5:$C$18,0)),INDEX('Kitting Plan'!$H$5:$H$18,MATCH(B178,'Kitting Plan'!$C$5:$C$18,0))),""))</f>
        <v/>
      </c>
      <c r="G178" s="45"/>
      <c r="H178" s="55" t="str">
        <f aca="false">IF(B178="","",IF(G178="",F178,G178))</f>
        <v/>
      </c>
      <c r="I178" s="45"/>
      <c r="J178" s="56"/>
      <c r="K178" s="46"/>
      <c r="L178" s="53" t="str">
        <f aca="false">IF(A178="","",IF(B178="","Missing code",IF(C178="Unknown code","Unknown code",IF(COUNTIF($A$6:$A$505,A178)&gt;1,"Duplicate WO",""))))</f>
        <v/>
      </c>
    </row>
    <row r="179" customFormat="false" ht="15" hidden="false" customHeight="false" outlineLevel="0" collapsed="false">
      <c r="A179" s="46"/>
      <c r="B179" s="46"/>
      <c r="C179" s="53" t="str">
        <f aca="false">IF(B179="","",IFERROR(INDEX('Kitting Plan'!$D$5:$D$18,MATCH(B179,'Kitting Plan'!$C$5:$C$18,0)),"Unknown code"))</f>
        <v/>
      </c>
      <c r="D179" s="53" t="str">
        <f aca="false">IF(B179="","",IFERROR(INDEX('Kitting Plan'!$B$5:$B$18,MATCH(B179,'Kitting Plan'!$C$5:$C$18,0)),""))</f>
        <v/>
      </c>
      <c r="E179" s="45"/>
      <c r="F179" s="54" t="str">
        <f aca="false">IF(B179="","",IFERROR(IF(OR(E179="",E179="All"),INDEX('Kitting Plan'!$E$5:$E$18,MATCH(B179,'Kitting Plan'!$C$5:$C$18,0)),INDEX('Kitting Plan'!$H$5:$H$18,MATCH(B179,'Kitting Plan'!$C$5:$C$18,0))),""))</f>
        <v/>
      </c>
      <c r="G179" s="45"/>
      <c r="H179" s="55" t="str">
        <f aca="false">IF(B179="","",IF(G179="",F179,G179))</f>
        <v/>
      </c>
      <c r="I179" s="45"/>
      <c r="J179" s="56"/>
      <c r="K179" s="46"/>
      <c r="L179" s="53" t="str">
        <f aca="false">IF(A179="","",IF(B179="","Missing code",IF(C179="Unknown code","Unknown code",IF(COUNTIF($A$6:$A$505,A179)&gt;1,"Duplicate WO",""))))</f>
        <v/>
      </c>
    </row>
    <row r="180" customFormat="false" ht="15" hidden="false" customHeight="false" outlineLevel="0" collapsed="false">
      <c r="A180" s="46"/>
      <c r="B180" s="46"/>
      <c r="C180" s="53" t="str">
        <f aca="false">IF(B180="","",IFERROR(INDEX('Kitting Plan'!$D$5:$D$18,MATCH(B180,'Kitting Plan'!$C$5:$C$18,0)),"Unknown code"))</f>
        <v/>
      </c>
      <c r="D180" s="53" t="str">
        <f aca="false">IF(B180="","",IFERROR(INDEX('Kitting Plan'!$B$5:$B$18,MATCH(B180,'Kitting Plan'!$C$5:$C$18,0)),""))</f>
        <v/>
      </c>
      <c r="E180" s="45"/>
      <c r="F180" s="54" t="str">
        <f aca="false">IF(B180="","",IFERROR(IF(OR(E180="",E180="All"),INDEX('Kitting Plan'!$E$5:$E$18,MATCH(B180,'Kitting Plan'!$C$5:$C$18,0)),INDEX('Kitting Plan'!$H$5:$H$18,MATCH(B180,'Kitting Plan'!$C$5:$C$18,0))),""))</f>
        <v/>
      </c>
      <c r="G180" s="45"/>
      <c r="H180" s="55" t="str">
        <f aca="false">IF(B180="","",IF(G180="",F180,G180))</f>
        <v/>
      </c>
      <c r="I180" s="45"/>
      <c r="J180" s="56"/>
      <c r="K180" s="46"/>
      <c r="L180" s="53" t="str">
        <f aca="false">IF(A180="","",IF(B180="","Missing code",IF(C180="Unknown code","Unknown code",IF(COUNTIF($A$6:$A$505,A180)&gt;1,"Duplicate WO",""))))</f>
        <v/>
      </c>
    </row>
    <row r="181" customFormat="false" ht="15" hidden="false" customHeight="false" outlineLevel="0" collapsed="false">
      <c r="A181" s="46"/>
      <c r="B181" s="46"/>
      <c r="C181" s="53" t="str">
        <f aca="false">IF(B181="","",IFERROR(INDEX('Kitting Plan'!$D$5:$D$18,MATCH(B181,'Kitting Plan'!$C$5:$C$18,0)),"Unknown code"))</f>
        <v/>
      </c>
      <c r="D181" s="53" t="str">
        <f aca="false">IF(B181="","",IFERROR(INDEX('Kitting Plan'!$B$5:$B$18,MATCH(B181,'Kitting Plan'!$C$5:$C$18,0)),""))</f>
        <v/>
      </c>
      <c r="E181" s="45"/>
      <c r="F181" s="54" t="str">
        <f aca="false">IF(B181="","",IFERROR(IF(OR(E181="",E181="All"),INDEX('Kitting Plan'!$E$5:$E$18,MATCH(B181,'Kitting Plan'!$C$5:$C$18,0)),INDEX('Kitting Plan'!$H$5:$H$18,MATCH(B181,'Kitting Plan'!$C$5:$C$18,0))),""))</f>
        <v/>
      </c>
      <c r="G181" s="45"/>
      <c r="H181" s="55" t="str">
        <f aca="false">IF(B181="","",IF(G181="",F181,G181))</f>
        <v/>
      </c>
      <c r="I181" s="45"/>
      <c r="J181" s="56"/>
      <c r="K181" s="46"/>
      <c r="L181" s="53" t="str">
        <f aca="false">IF(A181="","",IF(B181="","Missing code",IF(C181="Unknown code","Unknown code",IF(COUNTIF($A$6:$A$505,A181)&gt;1,"Duplicate WO",""))))</f>
        <v/>
      </c>
    </row>
    <row r="182" customFormat="false" ht="15" hidden="false" customHeight="false" outlineLevel="0" collapsed="false">
      <c r="A182" s="46"/>
      <c r="B182" s="46"/>
      <c r="C182" s="53" t="str">
        <f aca="false">IF(B182="","",IFERROR(INDEX('Kitting Plan'!$D$5:$D$18,MATCH(B182,'Kitting Plan'!$C$5:$C$18,0)),"Unknown code"))</f>
        <v/>
      </c>
      <c r="D182" s="53" t="str">
        <f aca="false">IF(B182="","",IFERROR(INDEX('Kitting Plan'!$B$5:$B$18,MATCH(B182,'Kitting Plan'!$C$5:$C$18,0)),""))</f>
        <v/>
      </c>
      <c r="E182" s="45"/>
      <c r="F182" s="54" t="str">
        <f aca="false">IF(B182="","",IFERROR(IF(OR(E182="",E182="All"),INDEX('Kitting Plan'!$E$5:$E$18,MATCH(B182,'Kitting Plan'!$C$5:$C$18,0)),INDEX('Kitting Plan'!$H$5:$H$18,MATCH(B182,'Kitting Plan'!$C$5:$C$18,0))),""))</f>
        <v/>
      </c>
      <c r="G182" s="45"/>
      <c r="H182" s="55" t="str">
        <f aca="false">IF(B182="","",IF(G182="",F182,G182))</f>
        <v/>
      </c>
      <c r="I182" s="45"/>
      <c r="J182" s="56"/>
      <c r="K182" s="46"/>
      <c r="L182" s="53" t="str">
        <f aca="false">IF(A182="","",IF(B182="","Missing code",IF(C182="Unknown code","Unknown code",IF(COUNTIF($A$6:$A$505,A182)&gt;1,"Duplicate WO",""))))</f>
        <v/>
      </c>
    </row>
    <row r="183" customFormat="false" ht="15" hidden="false" customHeight="false" outlineLevel="0" collapsed="false">
      <c r="A183" s="46"/>
      <c r="B183" s="46"/>
      <c r="C183" s="53" t="str">
        <f aca="false">IF(B183="","",IFERROR(INDEX('Kitting Plan'!$D$5:$D$18,MATCH(B183,'Kitting Plan'!$C$5:$C$18,0)),"Unknown code"))</f>
        <v/>
      </c>
      <c r="D183" s="53" t="str">
        <f aca="false">IF(B183="","",IFERROR(INDEX('Kitting Plan'!$B$5:$B$18,MATCH(B183,'Kitting Plan'!$C$5:$C$18,0)),""))</f>
        <v/>
      </c>
      <c r="E183" s="45"/>
      <c r="F183" s="54" t="str">
        <f aca="false">IF(B183="","",IFERROR(IF(OR(E183="",E183="All"),INDEX('Kitting Plan'!$E$5:$E$18,MATCH(B183,'Kitting Plan'!$C$5:$C$18,0)),INDEX('Kitting Plan'!$H$5:$H$18,MATCH(B183,'Kitting Plan'!$C$5:$C$18,0))),""))</f>
        <v/>
      </c>
      <c r="G183" s="45"/>
      <c r="H183" s="55" t="str">
        <f aca="false">IF(B183="","",IF(G183="",F183,G183))</f>
        <v/>
      </c>
      <c r="I183" s="45"/>
      <c r="J183" s="56"/>
      <c r="K183" s="46"/>
      <c r="L183" s="53" t="str">
        <f aca="false">IF(A183="","",IF(B183="","Missing code",IF(C183="Unknown code","Unknown code",IF(COUNTIF($A$6:$A$505,A183)&gt;1,"Duplicate WO",""))))</f>
        <v/>
      </c>
    </row>
    <row r="184" customFormat="false" ht="15" hidden="false" customHeight="false" outlineLevel="0" collapsed="false">
      <c r="A184" s="46"/>
      <c r="B184" s="46"/>
      <c r="C184" s="53" t="str">
        <f aca="false">IF(B184="","",IFERROR(INDEX('Kitting Plan'!$D$5:$D$18,MATCH(B184,'Kitting Plan'!$C$5:$C$18,0)),"Unknown code"))</f>
        <v/>
      </c>
      <c r="D184" s="53" t="str">
        <f aca="false">IF(B184="","",IFERROR(INDEX('Kitting Plan'!$B$5:$B$18,MATCH(B184,'Kitting Plan'!$C$5:$C$18,0)),""))</f>
        <v/>
      </c>
      <c r="E184" s="45"/>
      <c r="F184" s="54" t="str">
        <f aca="false">IF(B184="","",IFERROR(IF(OR(E184="",E184="All"),INDEX('Kitting Plan'!$E$5:$E$18,MATCH(B184,'Kitting Plan'!$C$5:$C$18,0)),INDEX('Kitting Plan'!$H$5:$H$18,MATCH(B184,'Kitting Plan'!$C$5:$C$18,0))),""))</f>
        <v/>
      </c>
      <c r="G184" s="45"/>
      <c r="H184" s="55" t="str">
        <f aca="false">IF(B184="","",IF(G184="",F184,G184))</f>
        <v/>
      </c>
      <c r="I184" s="45"/>
      <c r="J184" s="56"/>
      <c r="K184" s="46"/>
      <c r="L184" s="53" t="str">
        <f aca="false">IF(A184="","",IF(B184="","Missing code",IF(C184="Unknown code","Unknown code",IF(COUNTIF($A$6:$A$505,A184)&gt;1,"Duplicate WO",""))))</f>
        <v/>
      </c>
    </row>
    <row r="185" customFormat="false" ht="15" hidden="false" customHeight="false" outlineLevel="0" collapsed="false">
      <c r="A185" s="46"/>
      <c r="B185" s="46"/>
      <c r="C185" s="53" t="str">
        <f aca="false">IF(B185="","",IFERROR(INDEX('Kitting Plan'!$D$5:$D$18,MATCH(B185,'Kitting Plan'!$C$5:$C$18,0)),"Unknown code"))</f>
        <v/>
      </c>
      <c r="D185" s="53" t="str">
        <f aca="false">IF(B185="","",IFERROR(INDEX('Kitting Plan'!$B$5:$B$18,MATCH(B185,'Kitting Plan'!$C$5:$C$18,0)),""))</f>
        <v/>
      </c>
      <c r="E185" s="45"/>
      <c r="F185" s="54" t="str">
        <f aca="false">IF(B185="","",IFERROR(IF(OR(E185="",E185="All"),INDEX('Kitting Plan'!$E$5:$E$18,MATCH(B185,'Kitting Plan'!$C$5:$C$18,0)),INDEX('Kitting Plan'!$H$5:$H$18,MATCH(B185,'Kitting Plan'!$C$5:$C$18,0))),""))</f>
        <v/>
      </c>
      <c r="G185" s="45"/>
      <c r="H185" s="55" t="str">
        <f aca="false">IF(B185="","",IF(G185="",F185,G185))</f>
        <v/>
      </c>
      <c r="I185" s="45"/>
      <c r="J185" s="56"/>
      <c r="K185" s="46"/>
      <c r="L185" s="53" t="str">
        <f aca="false">IF(A185="","",IF(B185="","Missing code",IF(C185="Unknown code","Unknown code",IF(COUNTIF($A$6:$A$505,A185)&gt;1,"Duplicate WO",""))))</f>
        <v/>
      </c>
    </row>
    <row r="186" customFormat="false" ht="15" hidden="false" customHeight="false" outlineLevel="0" collapsed="false">
      <c r="A186" s="46"/>
      <c r="B186" s="46"/>
      <c r="C186" s="53" t="str">
        <f aca="false">IF(B186="","",IFERROR(INDEX('Kitting Plan'!$D$5:$D$18,MATCH(B186,'Kitting Plan'!$C$5:$C$18,0)),"Unknown code"))</f>
        <v/>
      </c>
      <c r="D186" s="53" t="str">
        <f aca="false">IF(B186="","",IFERROR(INDEX('Kitting Plan'!$B$5:$B$18,MATCH(B186,'Kitting Plan'!$C$5:$C$18,0)),""))</f>
        <v/>
      </c>
      <c r="E186" s="45"/>
      <c r="F186" s="54" t="str">
        <f aca="false">IF(B186="","",IFERROR(IF(OR(E186="",E186="All"),INDEX('Kitting Plan'!$E$5:$E$18,MATCH(B186,'Kitting Plan'!$C$5:$C$18,0)),INDEX('Kitting Plan'!$H$5:$H$18,MATCH(B186,'Kitting Plan'!$C$5:$C$18,0))),""))</f>
        <v/>
      </c>
      <c r="G186" s="45"/>
      <c r="H186" s="55" t="str">
        <f aca="false">IF(B186="","",IF(G186="",F186,G186))</f>
        <v/>
      </c>
      <c r="I186" s="45"/>
      <c r="J186" s="56"/>
      <c r="K186" s="46"/>
      <c r="L186" s="53" t="str">
        <f aca="false">IF(A186="","",IF(B186="","Missing code",IF(C186="Unknown code","Unknown code",IF(COUNTIF($A$6:$A$505,A186)&gt;1,"Duplicate WO",""))))</f>
        <v/>
      </c>
    </row>
    <row r="187" customFormat="false" ht="15" hidden="false" customHeight="false" outlineLevel="0" collapsed="false">
      <c r="A187" s="46"/>
      <c r="B187" s="46"/>
      <c r="C187" s="53" t="str">
        <f aca="false">IF(B187="","",IFERROR(INDEX('Kitting Plan'!$D$5:$D$18,MATCH(B187,'Kitting Plan'!$C$5:$C$18,0)),"Unknown code"))</f>
        <v/>
      </c>
      <c r="D187" s="53" t="str">
        <f aca="false">IF(B187="","",IFERROR(INDEX('Kitting Plan'!$B$5:$B$18,MATCH(B187,'Kitting Plan'!$C$5:$C$18,0)),""))</f>
        <v/>
      </c>
      <c r="E187" s="45"/>
      <c r="F187" s="54" t="str">
        <f aca="false">IF(B187="","",IFERROR(IF(OR(E187="",E187="All"),INDEX('Kitting Plan'!$E$5:$E$18,MATCH(B187,'Kitting Plan'!$C$5:$C$18,0)),INDEX('Kitting Plan'!$H$5:$H$18,MATCH(B187,'Kitting Plan'!$C$5:$C$18,0))),""))</f>
        <v/>
      </c>
      <c r="G187" s="45"/>
      <c r="H187" s="55" t="str">
        <f aca="false">IF(B187="","",IF(G187="",F187,G187))</f>
        <v/>
      </c>
      <c r="I187" s="45"/>
      <c r="J187" s="56"/>
      <c r="K187" s="46"/>
      <c r="L187" s="53" t="str">
        <f aca="false">IF(A187="","",IF(B187="","Missing code",IF(C187="Unknown code","Unknown code",IF(COUNTIF($A$6:$A$505,A187)&gt;1,"Duplicate WO",""))))</f>
        <v/>
      </c>
    </row>
    <row r="188" customFormat="false" ht="15" hidden="false" customHeight="false" outlineLevel="0" collapsed="false">
      <c r="A188" s="46"/>
      <c r="B188" s="46"/>
      <c r="C188" s="53" t="str">
        <f aca="false">IF(B188="","",IFERROR(INDEX('Kitting Plan'!$D$5:$D$18,MATCH(B188,'Kitting Plan'!$C$5:$C$18,0)),"Unknown code"))</f>
        <v/>
      </c>
      <c r="D188" s="53" t="str">
        <f aca="false">IF(B188="","",IFERROR(INDEX('Kitting Plan'!$B$5:$B$18,MATCH(B188,'Kitting Plan'!$C$5:$C$18,0)),""))</f>
        <v/>
      </c>
      <c r="E188" s="45"/>
      <c r="F188" s="54" t="str">
        <f aca="false">IF(B188="","",IFERROR(IF(OR(E188="",E188="All"),INDEX('Kitting Plan'!$E$5:$E$18,MATCH(B188,'Kitting Plan'!$C$5:$C$18,0)),INDEX('Kitting Plan'!$H$5:$H$18,MATCH(B188,'Kitting Plan'!$C$5:$C$18,0))),""))</f>
        <v/>
      </c>
      <c r="G188" s="45"/>
      <c r="H188" s="55" t="str">
        <f aca="false">IF(B188="","",IF(G188="",F188,G188))</f>
        <v/>
      </c>
      <c r="I188" s="45"/>
      <c r="J188" s="56"/>
      <c r="K188" s="46"/>
      <c r="L188" s="53" t="str">
        <f aca="false">IF(A188="","",IF(B188="","Missing code",IF(C188="Unknown code","Unknown code",IF(COUNTIF($A$6:$A$505,A188)&gt;1,"Duplicate WO",""))))</f>
        <v/>
      </c>
    </row>
    <row r="189" customFormat="false" ht="15" hidden="false" customHeight="false" outlineLevel="0" collapsed="false">
      <c r="A189" s="46"/>
      <c r="B189" s="46"/>
      <c r="C189" s="53" t="str">
        <f aca="false">IF(B189="","",IFERROR(INDEX('Kitting Plan'!$D$5:$D$18,MATCH(B189,'Kitting Plan'!$C$5:$C$18,0)),"Unknown code"))</f>
        <v/>
      </c>
      <c r="D189" s="53" t="str">
        <f aca="false">IF(B189="","",IFERROR(INDEX('Kitting Plan'!$B$5:$B$18,MATCH(B189,'Kitting Plan'!$C$5:$C$18,0)),""))</f>
        <v/>
      </c>
      <c r="E189" s="45"/>
      <c r="F189" s="54" t="str">
        <f aca="false">IF(B189="","",IFERROR(IF(OR(E189="",E189="All"),INDEX('Kitting Plan'!$E$5:$E$18,MATCH(B189,'Kitting Plan'!$C$5:$C$18,0)),INDEX('Kitting Plan'!$H$5:$H$18,MATCH(B189,'Kitting Plan'!$C$5:$C$18,0))),""))</f>
        <v/>
      </c>
      <c r="G189" s="45"/>
      <c r="H189" s="55" t="str">
        <f aca="false">IF(B189="","",IF(G189="",F189,G189))</f>
        <v/>
      </c>
      <c r="I189" s="45"/>
      <c r="J189" s="56"/>
      <c r="K189" s="46"/>
      <c r="L189" s="53" t="str">
        <f aca="false">IF(A189="","",IF(B189="","Missing code",IF(C189="Unknown code","Unknown code",IF(COUNTIF($A$6:$A$505,A189)&gt;1,"Duplicate WO",""))))</f>
        <v/>
      </c>
    </row>
    <row r="190" customFormat="false" ht="15" hidden="false" customHeight="false" outlineLevel="0" collapsed="false">
      <c r="A190" s="46"/>
      <c r="B190" s="46"/>
      <c r="C190" s="53" t="str">
        <f aca="false">IF(B190="","",IFERROR(INDEX('Kitting Plan'!$D$5:$D$18,MATCH(B190,'Kitting Plan'!$C$5:$C$18,0)),"Unknown code"))</f>
        <v/>
      </c>
      <c r="D190" s="53" t="str">
        <f aca="false">IF(B190="","",IFERROR(INDEX('Kitting Plan'!$B$5:$B$18,MATCH(B190,'Kitting Plan'!$C$5:$C$18,0)),""))</f>
        <v/>
      </c>
      <c r="E190" s="45"/>
      <c r="F190" s="54" t="str">
        <f aca="false">IF(B190="","",IFERROR(IF(OR(E190="",E190="All"),INDEX('Kitting Plan'!$E$5:$E$18,MATCH(B190,'Kitting Plan'!$C$5:$C$18,0)),INDEX('Kitting Plan'!$H$5:$H$18,MATCH(B190,'Kitting Plan'!$C$5:$C$18,0))),""))</f>
        <v/>
      </c>
      <c r="G190" s="45"/>
      <c r="H190" s="55" t="str">
        <f aca="false">IF(B190="","",IF(G190="",F190,G190))</f>
        <v/>
      </c>
      <c r="I190" s="45"/>
      <c r="J190" s="56"/>
      <c r="K190" s="46"/>
      <c r="L190" s="53" t="str">
        <f aca="false">IF(A190="","",IF(B190="","Missing code",IF(C190="Unknown code","Unknown code",IF(COUNTIF($A$6:$A$505,A190)&gt;1,"Duplicate WO",""))))</f>
        <v/>
      </c>
    </row>
    <row r="191" customFormat="false" ht="15" hidden="false" customHeight="false" outlineLevel="0" collapsed="false">
      <c r="A191" s="46"/>
      <c r="B191" s="46"/>
      <c r="C191" s="53" t="str">
        <f aca="false">IF(B191="","",IFERROR(INDEX('Kitting Plan'!$D$5:$D$18,MATCH(B191,'Kitting Plan'!$C$5:$C$18,0)),"Unknown code"))</f>
        <v/>
      </c>
      <c r="D191" s="53" t="str">
        <f aca="false">IF(B191="","",IFERROR(INDEX('Kitting Plan'!$B$5:$B$18,MATCH(B191,'Kitting Plan'!$C$5:$C$18,0)),""))</f>
        <v/>
      </c>
      <c r="E191" s="45"/>
      <c r="F191" s="54" t="str">
        <f aca="false">IF(B191="","",IFERROR(IF(OR(E191="",E191="All"),INDEX('Kitting Plan'!$E$5:$E$18,MATCH(B191,'Kitting Plan'!$C$5:$C$18,0)),INDEX('Kitting Plan'!$H$5:$H$18,MATCH(B191,'Kitting Plan'!$C$5:$C$18,0))),""))</f>
        <v/>
      </c>
      <c r="G191" s="45"/>
      <c r="H191" s="55" t="str">
        <f aca="false">IF(B191="","",IF(G191="",F191,G191))</f>
        <v/>
      </c>
      <c r="I191" s="45"/>
      <c r="J191" s="56"/>
      <c r="K191" s="46"/>
      <c r="L191" s="53" t="str">
        <f aca="false">IF(A191="","",IF(B191="","Missing code",IF(C191="Unknown code","Unknown code",IF(COUNTIF($A$6:$A$505,A191)&gt;1,"Duplicate WO",""))))</f>
        <v/>
      </c>
    </row>
    <row r="192" customFormat="false" ht="15" hidden="false" customHeight="false" outlineLevel="0" collapsed="false">
      <c r="A192" s="46"/>
      <c r="B192" s="46"/>
      <c r="C192" s="53" t="str">
        <f aca="false">IF(B192="","",IFERROR(INDEX('Kitting Plan'!$D$5:$D$18,MATCH(B192,'Kitting Plan'!$C$5:$C$18,0)),"Unknown code"))</f>
        <v/>
      </c>
      <c r="D192" s="53" t="str">
        <f aca="false">IF(B192="","",IFERROR(INDEX('Kitting Plan'!$B$5:$B$18,MATCH(B192,'Kitting Plan'!$C$5:$C$18,0)),""))</f>
        <v/>
      </c>
      <c r="E192" s="45"/>
      <c r="F192" s="54" t="str">
        <f aca="false">IF(B192="","",IFERROR(IF(OR(E192="",E192="All"),INDEX('Kitting Plan'!$E$5:$E$18,MATCH(B192,'Kitting Plan'!$C$5:$C$18,0)),INDEX('Kitting Plan'!$H$5:$H$18,MATCH(B192,'Kitting Plan'!$C$5:$C$18,0))),""))</f>
        <v/>
      </c>
      <c r="G192" s="45"/>
      <c r="H192" s="55" t="str">
        <f aca="false">IF(B192="","",IF(G192="",F192,G192))</f>
        <v/>
      </c>
      <c r="I192" s="45"/>
      <c r="J192" s="56"/>
      <c r="K192" s="46"/>
      <c r="L192" s="53" t="str">
        <f aca="false">IF(A192="","",IF(B192="","Missing code",IF(C192="Unknown code","Unknown code",IF(COUNTIF($A$6:$A$505,A192)&gt;1,"Duplicate WO",""))))</f>
        <v/>
      </c>
    </row>
    <row r="193" customFormat="false" ht="15" hidden="false" customHeight="false" outlineLevel="0" collapsed="false">
      <c r="A193" s="46"/>
      <c r="B193" s="46"/>
      <c r="C193" s="53" t="str">
        <f aca="false">IF(B193="","",IFERROR(INDEX('Kitting Plan'!$D$5:$D$18,MATCH(B193,'Kitting Plan'!$C$5:$C$18,0)),"Unknown code"))</f>
        <v/>
      </c>
      <c r="D193" s="53" t="str">
        <f aca="false">IF(B193="","",IFERROR(INDEX('Kitting Plan'!$B$5:$B$18,MATCH(B193,'Kitting Plan'!$C$5:$C$18,0)),""))</f>
        <v/>
      </c>
      <c r="E193" s="45"/>
      <c r="F193" s="54" t="str">
        <f aca="false">IF(B193="","",IFERROR(IF(OR(E193="",E193="All"),INDEX('Kitting Plan'!$E$5:$E$18,MATCH(B193,'Kitting Plan'!$C$5:$C$18,0)),INDEX('Kitting Plan'!$H$5:$H$18,MATCH(B193,'Kitting Plan'!$C$5:$C$18,0))),""))</f>
        <v/>
      </c>
      <c r="G193" s="45"/>
      <c r="H193" s="55" t="str">
        <f aca="false">IF(B193="","",IF(G193="",F193,G193))</f>
        <v/>
      </c>
      <c r="I193" s="45"/>
      <c r="J193" s="56"/>
      <c r="K193" s="46"/>
      <c r="L193" s="53" t="str">
        <f aca="false">IF(A193="","",IF(B193="","Missing code",IF(C193="Unknown code","Unknown code",IF(COUNTIF($A$6:$A$505,A193)&gt;1,"Duplicate WO",""))))</f>
        <v/>
      </c>
    </row>
    <row r="194" customFormat="false" ht="15" hidden="false" customHeight="false" outlineLevel="0" collapsed="false">
      <c r="A194" s="46"/>
      <c r="B194" s="46"/>
      <c r="C194" s="53" t="str">
        <f aca="false">IF(B194="","",IFERROR(INDEX('Kitting Plan'!$D$5:$D$18,MATCH(B194,'Kitting Plan'!$C$5:$C$18,0)),"Unknown code"))</f>
        <v/>
      </c>
      <c r="D194" s="53" t="str">
        <f aca="false">IF(B194="","",IFERROR(INDEX('Kitting Plan'!$B$5:$B$18,MATCH(B194,'Kitting Plan'!$C$5:$C$18,0)),""))</f>
        <v/>
      </c>
      <c r="E194" s="45"/>
      <c r="F194" s="54" t="str">
        <f aca="false">IF(B194="","",IFERROR(IF(OR(E194="",E194="All"),INDEX('Kitting Plan'!$E$5:$E$18,MATCH(B194,'Kitting Plan'!$C$5:$C$18,0)),INDEX('Kitting Plan'!$H$5:$H$18,MATCH(B194,'Kitting Plan'!$C$5:$C$18,0))),""))</f>
        <v/>
      </c>
      <c r="G194" s="45"/>
      <c r="H194" s="55" t="str">
        <f aca="false">IF(B194="","",IF(G194="",F194,G194))</f>
        <v/>
      </c>
      <c r="I194" s="45"/>
      <c r="J194" s="56"/>
      <c r="K194" s="46"/>
      <c r="L194" s="53" t="str">
        <f aca="false">IF(A194="","",IF(B194="","Missing code",IF(C194="Unknown code","Unknown code",IF(COUNTIF($A$6:$A$505,A194)&gt;1,"Duplicate WO",""))))</f>
        <v/>
      </c>
    </row>
    <row r="195" customFormat="false" ht="15" hidden="false" customHeight="false" outlineLevel="0" collapsed="false">
      <c r="A195" s="46"/>
      <c r="B195" s="46"/>
      <c r="C195" s="53" t="str">
        <f aca="false">IF(B195="","",IFERROR(INDEX('Kitting Plan'!$D$5:$D$18,MATCH(B195,'Kitting Plan'!$C$5:$C$18,0)),"Unknown code"))</f>
        <v/>
      </c>
      <c r="D195" s="53" t="str">
        <f aca="false">IF(B195="","",IFERROR(INDEX('Kitting Plan'!$B$5:$B$18,MATCH(B195,'Kitting Plan'!$C$5:$C$18,0)),""))</f>
        <v/>
      </c>
      <c r="E195" s="45"/>
      <c r="F195" s="54" t="str">
        <f aca="false">IF(B195="","",IFERROR(IF(OR(E195="",E195="All"),INDEX('Kitting Plan'!$E$5:$E$18,MATCH(B195,'Kitting Plan'!$C$5:$C$18,0)),INDEX('Kitting Plan'!$H$5:$H$18,MATCH(B195,'Kitting Plan'!$C$5:$C$18,0))),""))</f>
        <v/>
      </c>
      <c r="G195" s="45"/>
      <c r="H195" s="55" t="str">
        <f aca="false">IF(B195="","",IF(G195="",F195,G195))</f>
        <v/>
      </c>
      <c r="I195" s="45"/>
      <c r="J195" s="56"/>
      <c r="K195" s="46"/>
      <c r="L195" s="53" t="str">
        <f aca="false">IF(A195="","",IF(B195="","Missing code",IF(C195="Unknown code","Unknown code",IF(COUNTIF($A$6:$A$505,A195)&gt;1,"Duplicate WO",""))))</f>
        <v/>
      </c>
    </row>
    <row r="196" customFormat="false" ht="15" hidden="false" customHeight="false" outlineLevel="0" collapsed="false">
      <c r="A196" s="46"/>
      <c r="B196" s="46"/>
      <c r="C196" s="53" t="str">
        <f aca="false">IF(B196="","",IFERROR(INDEX('Kitting Plan'!$D$5:$D$18,MATCH(B196,'Kitting Plan'!$C$5:$C$18,0)),"Unknown code"))</f>
        <v/>
      </c>
      <c r="D196" s="53" t="str">
        <f aca="false">IF(B196="","",IFERROR(INDEX('Kitting Plan'!$B$5:$B$18,MATCH(B196,'Kitting Plan'!$C$5:$C$18,0)),""))</f>
        <v/>
      </c>
      <c r="E196" s="45"/>
      <c r="F196" s="54" t="str">
        <f aca="false">IF(B196="","",IFERROR(IF(OR(E196="",E196="All"),INDEX('Kitting Plan'!$E$5:$E$18,MATCH(B196,'Kitting Plan'!$C$5:$C$18,0)),INDEX('Kitting Plan'!$H$5:$H$18,MATCH(B196,'Kitting Plan'!$C$5:$C$18,0))),""))</f>
        <v/>
      </c>
      <c r="G196" s="45"/>
      <c r="H196" s="55" t="str">
        <f aca="false">IF(B196="","",IF(G196="",F196,G196))</f>
        <v/>
      </c>
      <c r="I196" s="45"/>
      <c r="J196" s="56"/>
      <c r="K196" s="46"/>
      <c r="L196" s="53" t="str">
        <f aca="false">IF(A196="","",IF(B196="","Missing code",IF(C196="Unknown code","Unknown code",IF(COUNTIF($A$6:$A$505,A196)&gt;1,"Duplicate WO",""))))</f>
        <v/>
      </c>
    </row>
    <row r="197" customFormat="false" ht="15" hidden="false" customHeight="false" outlineLevel="0" collapsed="false">
      <c r="A197" s="46"/>
      <c r="B197" s="46"/>
      <c r="C197" s="53" t="str">
        <f aca="false">IF(B197="","",IFERROR(INDEX('Kitting Plan'!$D$5:$D$18,MATCH(B197,'Kitting Plan'!$C$5:$C$18,0)),"Unknown code"))</f>
        <v/>
      </c>
      <c r="D197" s="53" t="str">
        <f aca="false">IF(B197="","",IFERROR(INDEX('Kitting Plan'!$B$5:$B$18,MATCH(B197,'Kitting Plan'!$C$5:$C$18,0)),""))</f>
        <v/>
      </c>
      <c r="E197" s="45"/>
      <c r="F197" s="54" t="str">
        <f aca="false">IF(B197="","",IFERROR(IF(OR(E197="",E197="All"),INDEX('Kitting Plan'!$E$5:$E$18,MATCH(B197,'Kitting Plan'!$C$5:$C$18,0)),INDEX('Kitting Plan'!$H$5:$H$18,MATCH(B197,'Kitting Plan'!$C$5:$C$18,0))),""))</f>
        <v/>
      </c>
      <c r="G197" s="45"/>
      <c r="H197" s="55" t="str">
        <f aca="false">IF(B197="","",IF(G197="",F197,G197))</f>
        <v/>
      </c>
      <c r="I197" s="45"/>
      <c r="J197" s="56"/>
      <c r="K197" s="46"/>
      <c r="L197" s="53" t="str">
        <f aca="false">IF(A197="","",IF(B197="","Missing code",IF(C197="Unknown code","Unknown code",IF(COUNTIF($A$6:$A$505,A197)&gt;1,"Duplicate WO",""))))</f>
        <v/>
      </c>
    </row>
    <row r="198" customFormat="false" ht="15" hidden="false" customHeight="false" outlineLevel="0" collapsed="false">
      <c r="A198" s="46"/>
      <c r="B198" s="46"/>
      <c r="C198" s="53" t="str">
        <f aca="false">IF(B198="","",IFERROR(INDEX('Kitting Plan'!$D$5:$D$18,MATCH(B198,'Kitting Plan'!$C$5:$C$18,0)),"Unknown code"))</f>
        <v/>
      </c>
      <c r="D198" s="53" t="str">
        <f aca="false">IF(B198="","",IFERROR(INDEX('Kitting Plan'!$B$5:$B$18,MATCH(B198,'Kitting Plan'!$C$5:$C$18,0)),""))</f>
        <v/>
      </c>
      <c r="E198" s="45"/>
      <c r="F198" s="54" t="str">
        <f aca="false">IF(B198="","",IFERROR(IF(OR(E198="",E198="All"),INDEX('Kitting Plan'!$E$5:$E$18,MATCH(B198,'Kitting Plan'!$C$5:$C$18,0)),INDEX('Kitting Plan'!$H$5:$H$18,MATCH(B198,'Kitting Plan'!$C$5:$C$18,0))),""))</f>
        <v/>
      </c>
      <c r="G198" s="45"/>
      <c r="H198" s="55" t="str">
        <f aca="false">IF(B198="","",IF(G198="",F198,G198))</f>
        <v/>
      </c>
      <c r="I198" s="45"/>
      <c r="J198" s="56"/>
      <c r="K198" s="46"/>
      <c r="L198" s="53" t="str">
        <f aca="false">IF(A198="","",IF(B198="","Missing code",IF(C198="Unknown code","Unknown code",IF(COUNTIF($A$6:$A$505,A198)&gt;1,"Duplicate WO",""))))</f>
        <v/>
      </c>
    </row>
    <row r="199" customFormat="false" ht="15" hidden="false" customHeight="false" outlineLevel="0" collapsed="false">
      <c r="A199" s="46"/>
      <c r="B199" s="46"/>
      <c r="C199" s="53" t="str">
        <f aca="false">IF(B199="","",IFERROR(INDEX('Kitting Plan'!$D$5:$D$18,MATCH(B199,'Kitting Plan'!$C$5:$C$18,0)),"Unknown code"))</f>
        <v/>
      </c>
      <c r="D199" s="53" t="str">
        <f aca="false">IF(B199="","",IFERROR(INDEX('Kitting Plan'!$B$5:$B$18,MATCH(B199,'Kitting Plan'!$C$5:$C$18,0)),""))</f>
        <v/>
      </c>
      <c r="E199" s="45"/>
      <c r="F199" s="54" t="str">
        <f aca="false">IF(B199="","",IFERROR(IF(OR(E199="",E199="All"),INDEX('Kitting Plan'!$E$5:$E$18,MATCH(B199,'Kitting Plan'!$C$5:$C$18,0)),INDEX('Kitting Plan'!$H$5:$H$18,MATCH(B199,'Kitting Plan'!$C$5:$C$18,0))),""))</f>
        <v/>
      </c>
      <c r="G199" s="45"/>
      <c r="H199" s="55" t="str">
        <f aca="false">IF(B199="","",IF(G199="",F199,G199))</f>
        <v/>
      </c>
      <c r="I199" s="45"/>
      <c r="J199" s="56"/>
      <c r="K199" s="46"/>
      <c r="L199" s="53" t="str">
        <f aca="false">IF(A199="","",IF(B199="","Missing code",IF(C199="Unknown code","Unknown code",IF(COUNTIF($A$6:$A$505,A199)&gt;1,"Duplicate WO",""))))</f>
        <v/>
      </c>
    </row>
    <row r="200" customFormat="false" ht="15" hidden="false" customHeight="false" outlineLevel="0" collapsed="false">
      <c r="A200" s="46"/>
      <c r="B200" s="46"/>
      <c r="C200" s="53" t="str">
        <f aca="false">IF(B200="","",IFERROR(INDEX('Kitting Plan'!$D$5:$D$18,MATCH(B200,'Kitting Plan'!$C$5:$C$18,0)),"Unknown code"))</f>
        <v/>
      </c>
      <c r="D200" s="53" t="str">
        <f aca="false">IF(B200="","",IFERROR(INDEX('Kitting Plan'!$B$5:$B$18,MATCH(B200,'Kitting Plan'!$C$5:$C$18,0)),""))</f>
        <v/>
      </c>
      <c r="E200" s="45"/>
      <c r="F200" s="54" t="str">
        <f aca="false">IF(B200="","",IFERROR(IF(OR(E200="",E200="All"),INDEX('Kitting Plan'!$E$5:$E$18,MATCH(B200,'Kitting Plan'!$C$5:$C$18,0)),INDEX('Kitting Plan'!$H$5:$H$18,MATCH(B200,'Kitting Plan'!$C$5:$C$18,0))),""))</f>
        <v/>
      </c>
      <c r="G200" s="45"/>
      <c r="H200" s="55" t="str">
        <f aca="false">IF(B200="","",IF(G200="",F200,G200))</f>
        <v/>
      </c>
      <c r="I200" s="45"/>
      <c r="J200" s="56"/>
      <c r="K200" s="46"/>
      <c r="L200" s="53" t="str">
        <f aca="false">IF(A200="","",IF(B200="","Missing code",IF(C200="Unknown code","Unknown code",IF(COUNTIF($A$6:$A$505,A200)&gt;1,"Duplicate WO",""))))</f>
        <v/>
      </c>
    </row>
    <row r="201" customFormat="false" ht="15" hidden="false" customHeight="false" outlineLevel="0" collapsed="false">
      <c r="A201" s="46"/>
      <c r="B201" s="46"/>
      <c r="C201" s="53" t="str">
        <f aca="false">IF(B201="","",IFERROR(INDEX('Kitting Plan'!$D$5:$D$18,MATCH(B201,'Kitting Plan'!$C$5:$C$18,0)),"Unknown code"))</f>
        <v/>
      </c>
      <c r="D201" s="53" t="str">
        <f aca="false">IF(B201="","",IFERROR(INDEX('Kitting Plan'!$B$5:$B$18,MATCH(B201,'Kitting Plan'!$C$5:$C$18,0)),""))</f>
        <v/>
      </c>
      <c r="E201" s="45"/>
      <c r="F201" s="54" t="str">
        <f aca="false">IF(B201="","",IFERROR(IF(OR(E201="",E201="All"),INDEX('Kitting Plan'!$E$5:$E$18,MATCH(B201,'Kitting Plan'!$C$5:$C$18,0)),INDEX('Kitting Plan'!$H$5:$H$18,MATCH(B201,'Kitting Plan'!$C$5:$C$18,0))),""))</f>
        <v/>
      </c>
      <c r="G201" s="45"/>
      <c r="H201" s="55" t="str">
        <f aca="false">IF(B201="","",IF(G201="",F201,G201))</f>
        <v/>
      </c>
      <c r="I201" s="45"/>
      <c r="J201" s="56"/>
      <c r="K201" s="46"/>
      <c r="L201" s="53" t="str">
        <f aca="false">IF(A201="","",IF(B201="","Missing code",IF(C201="Unknown code","Unknown code",IF(COUNTIF($A$6:$A$505,A201)&gt;1,"Duplicate WO",""))))</f>
        <v/>
      </c>
    </row>
    <row r="202" customFormat="false" ht="15" hidden="false" customHeight="false" outlineLevel="0" collapsed="false">
      <c r="A202" s="46"/>
      <c r="B202" s="46"/>
      <c r="C202" s="53" t="str">
        <f aca="false">IF(B202="","",IFERROR(INDEX('Kitting Plan'!$D$5:$D$18,MATCH(B202,'Kitting Plan'!$C$5:$C$18,0)),"Unknown code"))</f>
        <v/>
      </c>
      <c r="D202" s="53" t="str">
        <f aca="false">IF(B202="","",IFERROR(INDEX('Kitting Plan'!$B$5:$B$18,MATCH(B202,'Kitting Plan'!$C$5:$C$18,0)),""))</f>
        <v/>
      </c>
      <c r="E202" s="45"/>
      <c r="F202" s="54" t="str">
        <f aca="false">IF(B202="","",IFERROR(IF(OR(E202="",E202="All"),INDEX('Kitting Plan'!$E$5:$E$18,MATCH(B202,'Kitting Plan'!$C$5:$C$18,0)),INDEX('Kitting Plan'!$H$5:$H$18,MATCH(B202,'Kitting Plan'!$C$5:$C$18,0))),""))</f>
        <v/>
      </c>
      <c r="G202" s="45"/>
      <c r="H202" s="55" t="str">
        <f aca="false">IF(B202="","",IF(G202="",F202,G202))</f>
        <v/>
      </c>
      <c r="I202" s="45"/>
      <c r="J202" s="56"/>
      <c r="K202" s="46"/>
      <c r="L202" s="53" t="str">
        <f aca="false">IF(A202="","",IF(B202="","Missing code",IF(C202="Unknown code","Unknown code",IF(COUNTIF($A$6:$A$505,A202)&gt;1,"Duplicate WO",""))))</f>
        <v/>
      </c>
    </row>
    <row r="203" customFormat="false" ht="15" hidden="false" customHeight="false" outlineLevel="0" collapsed="false">
      <c r="A203" s="46"/>
      <c r="B203" s="46"/>
      <c r="C203" s="53" t="str">
        <f aca="false">IF(B203="","",IFERROR(INDEX('Kitting Plan'!$D$5:$D$18,MATCH(B203,'Kitting Plan'!$C$5:$C$18,0)),"Unknown code"))</f>
        <v/>
      </c>
      <c r="D203" s="53" t="str">
        <f aca="false">IF(B203="","",IFERROR(INDEX('Kitting Plan'!$B$5:$B$18,MATCH(B203,'Kitting Plan'!$C$5:$C$18,0)),""))</f>
        <v/>
      </c>
      <c r="E203" s="45"/>
      <c r="F203" s="54" t="str">
        <f aca="false">IF(B203="","",IFERROR(IF(OR(E203="",E203="All"),INDEX('Kitting Plan'!$E$5:$E$18,MATCH(B203,'Kitting Plan'!$C$5:$C$18,0)),INDEX('Kitting Plan'!$H$5:$H$18,MATCH(B203,'Kitting Plan'!$C$5:$C$18,0))),""))</f>
        <v/>
      </c>
      <c r="G203" s="45"/>
      <c r="H203" s="55" t="str">
        <f aca="false">IF(B203="","",IF(G203="",F203,G203))</f>
        <v/>
      </c>
      <c r="I203" s="45"/>
      <c r="J203" s="56"/>
      <c r="K203" s="46"/>
      <c r="L203" s="53" t="str">
        <f aca="false">IF(A203="","",IF(B203="","Missing code",IF(C203="Unknown code","Unknown code",IF(COUNTIF($A$6:$A$505,A203)&gt;1,"Duplicate WO",""))))</f>
        <v/>
      </c>
    </row>
    <row r="204" customFormat="false" ht="15" hidden="false" customHeight="false" outlineLevel="0" collapsed="false">
      <c r="A204" s="46"/>
      <c r="B204" s="46"/>
      <c r="C204" s="53" t="str">
        <f aca="false">IF(B204="","",IFERROR(INDEX('Kitting Plan'!$D$5:$D$18,MATCH(B204,'Kitting Plan'!$C$5:$C$18,0)),"Unknown code"))</f>
        <v/>
      </c>
      <c r="D204" s="53" t="str">
        <f aca="false">IF(B204="","",IFERROR(INDEX('Kitting Plan'!$B$5:$B$18,MATCH(B204,'Kitting Plan'!$C$5:$C$18,0)),""))</f>
        <v/>
      </c>
      <c r="E204" s="45"/>
      <c r="F204" s="54" t="str">
        <f aca="false">IF(B204="","",IFERROR(IF(OR(E204="",E204="All"),INDEX('Kitting Plan'!$E$5:$E$18,MATCH(B204,'Kitting Plan'!$C$5:$C$18,0)),INDEX('Kitting Plan'!$H$5:$H$18,MATCH(B204,'Kitting Plan'!$C$5:$C$18,0))),""))</f>
        <v/>
      </c>
      <c r="G204" s="45"/>
      <c r="H204" s="55" t="str">
        <f aca="false">IF(B204="","",IF(G204="",F204,G204))</f>
        <v/>
      </c>
      <c r="I204" s="45"/>
      <c r="J204" s="56"/>
      <c r="K204" s="46"/>
      <c r="L204" s="53" t="str">
        <f aca="false">IF(A204="","",IF(B204="","Missing code",IF(C204="Unknown code","Unknown code",IF(COUNTIF($A$6:$A$505,A204)&gt;1,"Duplicate WO",""))))</f>
        <v/>
      </c>
    </row>
    <row r="205" customFormat="false" ht="15" hidden="false" customHeight="false" outlineLevel="0" collapsed="false">
      <c r="A205" s="46"/>
      <c r="B205" s="46"/>
      <c r="C205" s="53" t="str">
        <f aca="false">IF(B205="","",IFERROR(INDEX('Kitting Plan'!$D$5:$D$18,MATCH(B205,'Kitting Plan'!$C$5:$C$18,0)),"Unknown code"))</f>
        <v/>
      </c>
      <c r="D205" s="53" t="str">
        <f aca="false">IF(B205="","",IFERROR(INDEX('Kitting Plan'!$B$5:$B$18,MATCH(B205,'Kitting Plan'!$C$5:$C$18,0)),""))</f>
        <v/>
      </c>
      <c r="E205" s="45"/>
      <c r="F205" s="54" t="str">
        <f aca="false">IF(B205="","",IFERROR(IF(OR(E205="",E205="All"),INDEX('Kitting Plan'!$E$5:$E$18,MATCH(B205,'Kitting Plan'!$C$5:$C$18,0)),INDEX('Kitting Plan'!$H$5:$H$18,MATCH(B205,'Kitting Plan'!$C$5:$C$18,0))),""))</f>
        <v/>
      </c>
      <c r="G205" s="45"/>
      <c r="H205" s="55" t="str">
        <f aca="false">IF(B205="","",IF(G205="",F205,G205))</f>
        <v/>
      </c>
      <c r="I205" s="45"/>
      <c r="J205" s="56"/>
      <c r="K205" s="46"/>
      <c r="L205" s="53" t="str">
        <f aca="false">IF(A205="","",IF(B205="","Missing code",IF(C205="Unknown code","Unknown code",IF(COUNTIF($A$6:$A$505,A205)&gt;1,"Duplicate WO",""))))</f>
        <v/>
      </c>
    </row>
    <row r="206" customFormat="false" ht="15" hidden="false" customHeight="false" outlineLevel="0" collapsed="false">
      <c r="A206" s="46"/>
      <c r="B206" s="46"/>
      <c r="C206" s="53" t="str">
        <f aca="false">IF(B206="","",IFERROR(INDEX('Kitting Plan'!$D$5:$D$18,MATCH(B206,'Kitting Plan'!$C$5:$C$18,0)),"Unknown code"))</f>
        <v/>
      </c>
      <c r="D206" s="53" t="str">
        <f aca="false">IF(B206="","",IFERROR(INDEX('Kitting Plan'!$B$5:$B$18,MATCH(B206,'Kitting Plan'!$C$5:$C$18,0)),""))</f>
        <v/>
      </c>
      <c r="E206" s="45"/>
      <c r="F206" s="54" t="str">
        <f aca="false">IF(B206="","",IFERROR(IF(OR(E206="",E206="All"),INDEX('Kitting Plan'!$E$5:$E$18,MATCH(B206,'Kitting Plan'!$C$5:$C$18,0)),INDEX('Kitting Plan'!$H$5:$H$18,MATCH(B206,'Kitting Plan'!$C$5:$C$18,0))),""))</f>
        <v/>
      </c>
      <c r="G206" s="45"/>
      <c r="H206" s="55" t="str">
        <f aca="false">IF(B206="","",IF(G206="",F206,G206))</f>
        <v/>
      </c>
      <c r="I206" s="45"/>
      <c r="J206" s="56"/>
      <c r="K206" s="46"/>
      <c r="L206" s="53" t="str">
        <f aca="false">IF(A206="","",IF(B206="","Missing code",IF(C206="Unknown code","Unknown code",IF(COUNTIF($A$6:$A$505,A206)&gt;1,"Duplicate WO",""))))</f>
        <v/>
      </c>
    </row>
    <row r="207" customFormat="false" ht="15" hidden="false" customHeight="false" outlineLevel="0" collapsed="false">
      <c r="A207" s="46"/>
      <c r="B207" s="46"/>
      <c r="C207" s="53" t="str">
        <f aca="false">IF(B207="","",IFERROR(INDEX('Kitting Plan'!$D$5:$D$18,MATCH(B207,'Kitting Plan'!$C$5:$C$18,0)),"Unknown code"))</f>
        <v/>
      </c>
      <c r="D207" s="53" t="str">
        <f aca="false">IF(B207="","",IFERROR(INDEX('Kitting Plan'!$B$5:$B$18,MATCH(B207,'Kitting Plan'!$C$5:$C$18,0)),""))</f>
        <v/>
      </c>
      <c r="E207" s="45"/>
      <c r="F207" s="54" t="str">
        <f aca="false">IF(B207="","",IFERROR(IF(OR(E207="",E207="All"),INDEX('Kitting Plan'!$E$5:$E$18,MATCH(B207,'Kitting Plan'!$C$5:$C$18,0)),INDEX('Kitting Plan'!$H$5:$H$18,MATCH(B207,'Kitting Plan'!$C$5:$C$18,0))),""))</f>
        <v/>
      </c>
      <c r="G207" s="45"/>
      <c r="H207" s="55" t="str">
        <f aca="false">IF(B207="","",IF(G207="",F207,G207))</f>
        <v/>
      </c>
      <c r="I207" s="45"/>
      <c r="J207" s="56"/>
      <c r="K207" s="46"/>
      <c r="L207" s="53" t="str">
        <f aca="false">IF(A207="","",IF(B207="","Missing code",IF(C207="Unknown code","Unknown code",IF(COUNTIF($A$6:$A$505,A207)&gt;1,"Duplicate WO",""))))</f>
        <v/>
      </c>
    </row>
    <row r="208" customFormat="false" ht="15" hidden="false" customHeight="false" outlineLevel="0" collapsed="false">
      <c r="A208" s="46"/>
      <c r="B208" s="46"/>
      <c r="C208" s="53" t="str">
        <f aca="false">IF(B208="","",IFERROR(INDEX('Kitting Plan'!$D$5:$D$18,MATCH(B208,'Kitting Plan'!$C$5:$C$18,0)),"Unknown code"))</f>
        <v/>
      </c>
      <c r="D208" s="53" t="str">
        <f aca="false">IF(B208="","",IFERROR(INDEX('Kitting Plan'!$B$5:$B$18,MATCH(B208,'Kitting Plan'!$C$5:$C$18,0)),""))</f>
        <v/>
      </c>
      <c r="E208" s="45"/>
      <c r="F208" s="54" t="str">
        <f aca="false">IF(B208="","",IFERROR(IF(OR(E208="",E208="All"),INDEX('Kitting Plan'!$E$5:$E$18,MATCH(B208,'Kitting Plan'!$C$5:$C$18,0)),INDEX('Kitting Plan'!$H$5:$H$18,MATCH(B208,'Kitting Plan'!$C$5:$C$18,0))),""))</f>
        <v/>
      </c>
      <c r="G208" s="45"/>
      <c r="H208" s="55" t="str">
        <f aca="false">IF(B208="","",IF(G208="",F208,G208))</f>
        <v/>
      </c>
      <c r="I208" s="45"/>
      <c r="J208" s="56"/>
      <c r="K208" s="46"/>
      <c r="L208" s="53" t="str">
        <f aca="false">IF(A208="","",IF(B208="","Missing code",IF(C208="Unknown code","Unknown code",IF(COUNTIF($A$6:$A$505,A208)&gt;1,"Duplicate WO",""))))</f>
        <v/>
      </c>
    </row>
    <row r="209" customFormat="false" ht="15" hidden="false" customHeight="false" outlineLevel="0" collapsed="false">
      <c r="A209" s="46"/>
      <c r="B209" s="46"/>
      <c r="C209" s="53" t="str">
        <f aca="false">IF(B209="","",IFERROR(INDEX('Kitting Plan'!$D$5:$D$18,MATCH(B209,'Kitting Plan'!$C$5:$C$18,0)),"Unknown code"))</f>
        <v/>
      </c>
      <c r="D209" s="53" t="str">
        <f aca="false">IF(B209="","",IFERROR(INDEX('Kitting Plan'!$B$5:$B$18,MATCH(B209,'Kitting Plan'!$C$5:$C$18,0)),""))</f>
        <v/>
      </c>
      <c r="E209" s="45"/>
      <c r="F209" s="54" t="str">
        <f aca="false">IF(B209="","",IFERROR(IF(OR(E209="",E209="All"),INDEX('Kitting Plan'!$E$5:$E$18,MATCH(B209,'Kitting Plan'!$C$5:$C$18,0)),INDEX('Kitting Plan'!$H$5:$H$18,MATCH(B209,'Kitting Plan'!$C$5:$C$18,0))),""))</f>
        <v/>
      </c>
      <c r="G209" s="45"/>
      <c r="H209" s="55" t="str">
        <f aca="false">IF(B209="","",IF(G209="",F209,G209))</f>
        <v/>
      </c>
      <c r="I209" s="45"/>
      <c r="J209" s="56"/>
      <c r="K209" s="46"/>
      <c r="L209" s="53" t="str">
        <f aca="false">IF(A209="","",IF(B209="","Missing code",IF(C209="Unknown code","Unknown code",IF(COUNTIF($A$6:$A$505,A209)&gt;1,"Duplicate WO",""))))</f>
        <v/>
      </c>
    </row>
    <row r="210" customFormat="false" ht="15" hidden="false" customHeight="false" outlineLevel="0" collapsed="false">
      <c r="A210" s="46"/>
      <c r="B210" s="46"/>
      <c r="C210" s="53" t="str">
        <f aca="false">IF(B210="","",IFERROR(INDEX('Kitting Plan'!$D$5:$D$18,MATCH(B210,'Kitting Plan'!$C$5:$C$18,0)),"Unknown code"))</f>
        <v/>
      </c>
      <c r="D210" s="53" t="str">
        <f aca="false">IF(B210="","",IFERROR(INDEX('Kitting Plan'!$B$5:$B$18,MATCH(B210,'Kitting Plan'!$C$5:$C$18,0)),""))</f>
        <v/>
      </c>
      <c r="E210" s="45"/>
      <c r="F210" s="54" t="str">
        <f aca="false">IF(B210="","",IFERROR(IF(OR(E210="",E210="All"),INDEX('Kitting Plan'!$E$5:$E$18,MATCH(B210,'Kitting Plan'!$C$5:$C$18,0)),INDEX('Kitting Plan'!$H$5:$H$18,MATCH(B210,'Kitting Plan'!$C$5:$C$18,0))),""))</f>
        <v/>
      </c>
      <c r="G210" s="45"/>
      <c r="H210" s="55" t="str">
        <f aca="false">IF(B210="","",IF(G210="",F210,G210))</f>
        <v/>
      </c>
      <c r="I210" s="45"/>
      <c r="J210" s="56"/>
      <c r="K210" s="46"/>
      <c r="L210" s="53" t="str">
        <f aca="false">IF(A210="","",IF(B210="","Missing code",IF(C210="Unknown code","Unknown code",IF(COUNTIF($A$6:$A$505,A210)&gt;1,"Duplicate WO",""))))</f>
        <v/>
      </c>
    </row>
    <row r="211" customFormat="false" ht="15" hidden="false" customHeight="false" outlineLevel="0" collapsed="false">
      <c r="A211" s="46"/>
      <c r="B211" s="46"/>
      <c r="C211" s="53" t="str">
        <f aca="false">IF(B211="","",IFERROR(INDEX('Kitting Plan'!$D$5:$D$18,MATCH(B211,'Kitting Plan'!$C$5:$C$18,0)),"Unknown code"))</f>
        <v/>
      </c>
      <c r="D211" s="53" t="str">
        <f aca="false">IF(B211="","",IFERROR(INDEX('Kitting Plan'!$B$5:$B$18,MATCH(B211,'Kitting Plan'!$C$5:$C$18,0)),""))</f>
        <v/>
      </c>
      <c r="E211" s="45"/>
      <c r="F211" s="54" t="str">
        <f aca="false">IF(B211="","",IFERROR(IF(OR(E211="",E211="All"),INDEX('Kitting Plan'!$E$5:$E$18,MATCH(B211,'Kitting Plan'!$C$5:$C$18,0)),INDEX('Kitting Plan'!$H$5:$H$18,MATCH(B211,'Kitting Plan'!$C$5:$C$18,0))),""))</f>
        <v/>
      </c>
      <c r="G211" s="45"/>
      <c r="H211" s="55" t="str">
        <f aca="false">IF(B211="","",IF(G211="",F211,G211))</f>
        <v/>
      </c>
      <c r="I211" s="45"/>
      <c r="J211" s="56"/>
      <c r="K211" s="46"/>
      <c r="L211" s="53" t="str">
        <f aca="false">IF(A211="","",IF(B211="","Missing code",IF(C211="Unknown code","Unknown code",IF(COUNTIF($A$6:$A$505,A211)&gt;1,"Duplicate WO",""))))</f>
        <v/>
      </c>
    </row>
    <row r="212" customFormat="false" ht="15" hidden="false" customHeight="false" outlineLevel="0" collapsed="false">
      <c r="A212" s="46"/>
      <c r="B212" s="46"/>
      <c r="C212" s="53" t="str">
        <f aca="false">IF(B212="","",IFERROR(INDEX('Kitting Plan'!$D$5:$D$18,MATCH(B212,'Kitting Plan'!$C$5:$C$18,0)),"Unknown code"))</f>
        <v/>
      </c>
      <c r="D212" s="53" t="str">
        <f aca="false">IF(B212="","",IFERROR(INDEX('Kitting Plan'!$B$5:$B$18,MATCH(B212,'Kitting Plan'!$C$5:$C$18,0)),""))</f>
        <v/>
      </c>
      <c r="E212" s="45"/>
      <c r="F212" s="54" t="str">
        <f aca="false">IF(B212="","",IFERROR(IF(OR(E212="",E212="All"),INDEX('Kitting Plan'!$E$5:$E$18,MATCH(B212,'Kitting Plan'!$C$5:$C$18,0)),INDEX('Kitting Plan'!$H$5:$H$18,MATCH(B212,'Kitting Plan'!$C$5:$C$18,0))),""))</f>
        <v/>
      </c>
      <c r="G212" s="45"/>
      <c r="H212" s="55" t="str">
        <f aca="false">IF(B212="","",IF(G212="",F212,G212))</f>
        <v/>
      </c>
      <c r="I212" s="45"/>
      <c r="J212" s="56"/>
      <c r="K212" s="46"/>
      <c r="L212" s="53" t="str">
        <f aca="false">IF(A212="","",IF(B212="","Missing code",IF(C212="Unknown code","Unknown code",IF(COUNTIF($A$6:$A$505,A212)&gt;1,"Duplicate WO",""))))</f>
        <v/>
      </c>
    </row>
    <row r="213" customFormat="false" ht="15" hidden="false" customHeight="false" outlineLevel="0" collapsed="false">
      <c r="A213" s="46"/>
      <c r="B213" s="46"/>
      <c r="C213" s="53" t="str">
        <f aca="false">IF(B213="","",IFERROR(INDEX('Kitting Plan'!$D$5:$D$18,MATCH(B213,'Kitting Plan'!$C$5:$C$18,0)),"Unknown code"))</f>
        <v/>
      </c>
      <c r="D213" s="53" t="str">
        <f aca="false">IF(B213="","",IFERROR(INDEX('Kitting Plan'!$B$5:$B$18,MATCH(B213,'Kitting Plan'!$C$5:$C$18,0)),""))</f>
        <v/>
      </c>
      <c r="E213" s="45"/>
      <c r="F213" s="54" t="str">
        <f aca="false">IF(B213="","",IFERROR(IF(OR(E213="",E213="All"),INDEX('Kitting Plan'!$E$5:$E$18,MATCH(B213,'Kitting Plan'!$C$5:$C$18,0)),INDEX('Kitting Plan'!$H$5:$H$18,MATCH(B213,'Kitting Plan'!$C$5:$C$18,0))),""))</f>
        <v/>
      </c>
      <c r="G213" s="45"/>
      <c r="H213" s="55" t="str">
        <f aca="false">IF(B213="","",IF(G213="",F213,G213))</f>
        <v/>
      </c>
      <c r="I213" s="45"/>
      <c r="J213" s="56"/>
      <c r="K213" s="46"/>
      <c r="L213" s="53" t="str">
        <f aca="false">IF(A213="","",IF(B213="","Missing code",IF(C213="Unknown code","Unknown code",IF(COUNTIF($A$6:$A$505,A213)&gt;1,"Duplicate WO",""))))</f>
        <v/>
      </c>
    </row>
    <row r="214" customFormat="false" ht="15" hidden="false" customHeight="false" outlineLevel="0" collapsed="false">
      <c r="A214" s="46"/>
      <c r="B214" s="46"/>
      <c r="C214" s="53" t="str">
        <f aca="false">IF(B214="","",IFERROR(INDEX('Kitting Plan'!$D$5:$D$18,MATCH(B214,'Kitting Plan'!$C$5:$C$18,0)),"Unknown code"))</f>
        <v/>
      </c>
      <c r="D214" s="53" t="str">
        <f aca="false">IF(B214="","",IFERROR(INDEX('Kitting Plan'!$B$5:$B$18,MATCH(B214,'Kitting Plan'!$C$5:$C$18,0)),""))</f>
        <v/>
      </c>
      <c r="E214" s="45"/>
      <c r="F214" s="54" t="str">
        <f aca="false">IF(B214="","",IFERROR(IF(OR(E214="",E214="All"),INDEX('Kitting Plan'!$E$5:$E$18,MATCH(B214,'Kitting Plan'!$C$5:$C$18,0)),INDEX('Kitting Plan'!$H$5:$H$18,MATCH(B214,'Kitting Plan'!$C$5:$C$18,0))),""))</f>
        <v/>
      </c>
      <c r="G214" s="45"/>
      <c r="H214" s="55" t="str">
        <f aca="false">IF(B214="","",IF(G214="",F214,G214))</f>
        <v/>
      </c>
      <c r="I214" s="45"/>
      <c r="J214" s="56"/>
      <c r="K214" s="46"/>
      <c r="L214" s="53" t="str">
        <f aca="false">IF(A214="","",IF(B214="","Missing code",IF(C214="Unknown code","Unknown code",IF(COUNTIF($A$6:$A$505,A214)&gt;1,"Duplicate WO",""))))</f>
        <v/>
      </c>
    </row>
    <row r="215" customFormat="false" ht="15" hidden="false" customHeight="false" outlineLevel="0" collapsed="false">
      <c r="A215" s="46"/>
      <c r="B215" s="46"/>
      <c r="C215" s="53" t="str">
        <f aca="false">IF(B215="","",IFERROR(INDEX('Kitting Plan'!$D$5:$D$18,MATCH(B215,'Kitting Plan'!$C$5:$C$18,0)),"Unknown code"))</f>
        <v/>
      </c>
      <c r="D215" s="53" t="str">
        <f aca="false">IF(B215="","",IFERROR(INDEX('Kitting Plan'!$B$5:$B$18,MATCH(B215,'Kitting Plan'!$C$5:$C$18,0)),""))</f>
        <v/>
      </c>
      <c r="E215" s="45"/>
      <c r="F215" s="54" t="str">
        <f aca="false">IF(B215="","",IFERROR(IF(OR(E215="",E215="All"),INDEX('Kitting Plan'!$E$5:$E$18,MATCH(B215,'Kitting Plan'!$C$5:$C$18,0)),INDEX('Kitting Plan'!$H$5:$H$18,MATCH(B215,'Kitting Plan'!$C$5:$C$18,0))),""))</f>
        <v/>
      </c>
      <c r="G215" s="45"/>
      <c r="H215" s="55" t="str">
        <f aca="false">IF(B215="","",IF(G215="",F215,G215))</f>
        <v/>
      </c>
      <c r="I215" s="45"/>
      <c r="J215" s="56"/>
      <c r="K215" s="46"/>
      <c r="L215" s="53" t="str">
        <f aca="false">IF(A215="","",IF(B215="","Missing code",IF(C215="Unknown code","Unknown code",IF(COUNTIF($A$6:$A$505,A215)&gt;1,"Duplicate WO",""))))</f>
        <v/>
      </c>
    </row>
    <row r="216" customFormat="false" ht="15" hidden="false" customHeight="false" outlineLevel="0" collapsed="false">
      <c r="A216" s="46"/>
      <c r="B216" s="46"/>
      <c r="C216" s="53" t="str">
        <f aca="false">IF(B216="","",IFERROR(INDEX('Kitting Plan'!$D$5:$D$18,MATCH(B216,'Kitting Plan'!$C$5:$C$18,0)),"Unknown code"))</f>
        <v/>
      </c>
      <c r="D216" s="53" t="str">
        <f aca="false">IF(B216="","",IFERROR(INDEX('Kitting Plan'!$B$5:$B$18,MATCH(B216,'Kitting Plan'!$C$5:$C$18,0)),""))</f>
        <v/>
      </c>
      <c r="E216" s="45"/>
      <c r="F216" s="54" t="str">
        <f aca="false">IF(B216="","",IFERROR(IF(OR(E216="",E216="All"),INDEX('Kitting Plan'!$E$5:$E$18,MATCH(B216,'Kitting Plan'!$C$5:$C$18,0)),INDEX('Kitting Plan'!$H$5:$H$18,MATCH(B216,'Kitting Plan'!$C$5:$C$18,0))),""))</f>
        <v/>
      </c>
      <c r="G216" s="45"/>
      <c r="H216" s="55" t="str">
        <f aca="false">IF(B216="","",IF(G216="",F216,G216))</f>
        <v/>
      </c>
      <c r="I216" s="45"/>
      <c r="J216" s="56"/>
      <c r="K216" s="46"/>
      <c r="L216" s="53" t="str">
        <f aca="false">IF(A216="","",IF(B216="","Missing code",IF(C216="Unknown code","Unknown code",IF(COUNTIF($A$6:$A$505,A216)&gt;1,"Duplicate WO",""))))</f>
        <v/>
      </c>
    </row>
    <row r="217" customFormat="false" ht="15" hidden="false" customHeight="false" outlineLevel="0" collapsed="false">
      <c r="A217" s="46"/>
      <c r="B217" s="46"/>
      <c r="C217" s="53" t="str">
        <f aca="false">IF(B217="","",IFERROR(INDEX('Kitting Plan'!$D$5:$D$18,MATCH(B217,'Kitting Plan'!$C$5:$C$18,0)),"Unknown code"))</f>
        <v/>
      </c>
      <c r="D217" s="53" t="str">
        <f aca="false">IF(B217="","",IFERROR(INDEX('Kitting Plan'!$B$5:$B$18,MATCH(B217,'Kitting Plan'!$C$5:$C$18,0)),""))</f>
        <v/>
      </c>
      <c r="E217" s="45"/>
      <c r="F217" s="54" t="str">
        <f aca="false">IF(B217="","",IFERROR(IF(OR(E217="",E217="All"),INDEX('Kitting Plan'!$E$5:$E$18,MATCH(B217,'Kitting Plan'!$C$5:$C$18,0)),INDEX('Kitting Plan'!$H$5:$H$18,MATCH(B217,'Kitting Plan'!$C$5:$C$18,0))),""))</f>
        <v/>
      </c>
      <c r="G217" s="45"/>
      <c r="H217" s="55" t="str">
        <f aca="false">IF(B217="","",IF(G217="",F217,G217))</f>
        <v/>
      </c>
      <c r="I217" s="45"/>
      <c r="J217" s="56"/>
      <c r="K217" s="46"/>
      <c r="L217" s="53" t="str">
        <f aca="false">IF(A217="","",IF(B217="","Missing code",IF(C217="Unknown code","Unknown code",IF(COUNTIF($A$6:$A$505,A217)&gt;1,"Duplicate WO",""))))</f>
        <v/>
      </c>
    </row>
    <row r="218" customFormat="false" ht="15" hidden="false" customHeight="false" outlineLevel="0" collapsed="false">
      <c r="A218" s="46"/>
      <c r="B218" s="46"/>
      <c r="C218" s="53" t="str">
        <f aca="false">IF(B218="","",IFERROR(INDEX('Kitting Plan'!$D$5:$D$18,MATCH(B218,'Kitting Plan'!$C$5:$C$18,0)),"Unknown code"))</f>
        <v/>
      </c>
      <c r="D218" s="53" t="str">
        <f aca="false">IF(B218="","",IFERROR(INDEX('Kitting Plan'!$B$5:$B$18,MATCH(B218,'Kitting Plan'!$C$5:$C$18,0)),""))</f>
        <v/>
      </c>
      <c r="E218" s="45"/>
      <c r="F218" s="54" t="str">
        <f aca="false">IF(B218="","",IFERROR(IF(OR(E218="",E218="All"),INDEX('Kitting Plan'!$E$5:$E$18,MATCH(B218,'Kitting Plan'!$C$5:$C$18,0)),INDEX('Kitting Plan'!$H$5:$H$18,MATCH(B218,'Kitting Plan'!$C$5:$C$18,0))),""))</f>
        <v/>
      </c>
      <c r="G218" s="45"/>
      <c r="H218" s="55" t="str">
        <f aca="false">IF(B218="","",IF(G218="",F218,G218))</f>
        <v/>
      </c>
      <c r="I218" s="45"/>
      <c r="J218" s="56"/>
      <c r="K218" s="46"/>
      <c r="L218" s="53" t="str">
        <f aca="false">IF(A218="","",IF(B218="","Missing code",IF(C218="Unknown code","Unknown code",IF(COUNTIF($A$6:$A$505,A218)&gt;1,"Duplicate WO",""))))</f>
        <v/>
      </c>
    </row>
    <row r="219" customFormat="false" ht="15" hidden="false" customHeight="false" outlineLevel="0" collapsed="false">
      <c r="A219" s="46"/>
      <c r="B219" s="46"/>
      <c r="C219" s="53" t="str">
        <f aca="false">IF(B219="","",IFERROR(INDEX('Kitting Plan'!$D$5:$D$18,MATCH(B219,'Kitting Plan'!$C$5:$C$18,0)),"Unknown code"))</f>
        <v/>
      </c>
      <c r="D219" s="53" t="str">
        <f aca="false">IF(B219="","",IFERROR(INDEX('Kitting Plan'!$B$5:$B$18,MATCH(B219,'Kitting Plan'!$C$5:$C$18,0)),""))</f>
        <v/>
      </c>
      <c r="E219" s="45"/>
      <c r="F219" s="54" t="str">
        <f aca="false">IF(B219="","",IFERROR(IF(OR(E219="",E219="All"),INDEX('Kitting Plan'!$E$5:$E$18,MATCH(B219,'Kitting Plan'!$C$5:$C$18,0)),INDEX('Kitting Plan'!$H$5:$H$18,MATCH(B219,'Kitting Plan'!$C$5:$C$18,0))),""))</f>
        <v/>
      </c>
      <c r="G219" s="45"/>
      <c r="H219" s="55" t="str">
        <f aca="false">IF(B219="","",IF(G219="",F219,G219))</f>
        <v/>
      </c>
      <c r="I219" s="45"/>
      <c r="J219" s="56"/>
      <c r="K219" s="46"/>
      <c r="L219" s="53" t="str">
        <f aca="false">IF(A219="","",IF(B219="","Missing code",IF(C219="Unknown code","Unknown code",IF(COUNTIF($A$6:$A$505,A219)&gt;1,"Duplicate WO",""))))</f>
        <v/>
      </c>
    </row>
    <row r="220" customFormat="false" ht="15" hidden="false" customHeight="false" outlineLevel="0" collapsed="false">
      <c r="A220" s="46"/>
      <c r="B220" s="46"/>
      <c r="C220" s="53" t="str">
        <f aca="false">IF(B220="","",IFERROR(INDEX('Kitting Plan'!$D$5:$D$18,MATCH(B220,'Kitting Plan'!$C$5:$C$18,0)),"Unknown code"))</f>
        <v/>
      </c>
      <c r="D220" s="53" t="str">
        <f aca="false">IF(B220="","",IFERROR(INDEX('Kitting Plan'!$B$5:$B$18,MATCH(B220,'Kitting Plan'!$C$5:$C$18,0)),""))</f>
        <v/>
      </c>
      <c r="E220" s="45"/>
      <c r="F220" s="54" t="str">
        <f aca="false">IF(B220="","",IFERROR(IF(OR(E220="",E220="All"),INDEX('Kitting Plan'!$E$5:$E$18,MATCH(B220,'Kitting Plan'!$C$5:$C$18,0)),INDEX('Kitting Plan'!$H$5:$H$18,MATCH(B220,'Kitting Plan'!$C$5:$C$18,0))),""))</f>
        <v/>
      </c>
      <c r="G220" s="45"/>
      <c r="H220" s="55" t="str">
        <f aca="false">IF(B220="","",IF(G220="",F220,G220))</f>
        <v/>
      </c>
      <c r="I220" s="45"/>
      <c r="J220" s="56"/>
      <c r="K220" s="46"/>
      <c r="L220" s="53" t="str">
        <f aca="false">IF(A220="","",IF(B220="","Missing code",IF(C220="Unknown code","Unknown code",IF(COUNTIF($A$6:$A$505,A220)&gt;1,"Duplicate WO",""))))</f>
        <v/>
      </c>
    </row>
    <row r="221" customFormat="false" ht="15" hidden="false" customHeight="false" outlineLevel="0" collapsed="false">
      <c r="A221" s="46"/>
      <c r="B221" s="46"/>
      <c r="C221" s="53" t="str">
        <f aca="false">IF(B221="","",IFERROR(INDEX('Kitting Plan'!$D$5:$D$18,MATCH(B221,'Kitting Plan'!$C$5:$C$18,0)),"Unknown code"))</f>
        <v/>
      </c>
      <c r="D221" s="53" t="str">
        <f aca="false">IF(B221="","",IFERROR(INDEX('Kitting Plan'!$B$5:$B$18,MATCH(B221,'Kitting Plan'!$C$5:$C$18,0)),""))</f>
        <v/>
      </c>
      <c r="E221" s="45"/>
      <c r="F221" s="54" t="str">
        <f aca="false">IF(B221="","",IFERROR(IF(OR(E221="",E221="All"),INDEX('Kitting Plan'!$E$5:$E$18,MATCH(B221,'Kitting Plan'!$C$5:$C$18,0)),INDEX('Kitting Plan'!$H$5:$H$18,MATCH(B221,'Kitting Plan'!$C$5:$C$18,0))),""))</f>
        <v/>
      </c>
      <c r="G221" s="45"/>
      <c r="H221" s="55" t="str">
        <f aca="false">IF(B221="","",IF(G221="",F221,G221))</f>
        <v/>
      </c>
      <c r="I221" s="45"/>
      <c r="J221" s="56"/>
      <c r="K221" s="46"/>
      <c r="L221" s="53" t="str">
        <f aca="false">IF(A221="","",IF(B221="","Missing code",IF(C221="Unknown code","Unknown code",IF(COUNTIF($A$6:$A$505,A221)&gt;1,"Duplicate WO",""))))</f>
        <v/>
      </c>
    </row>
    <row r="222" customFormat="false" ht="15" hidden="false" customHeight="false" outlineLevel="0" collapsed="false">
      <c r="A222" s="46"/>
      <c r="B222" s="46"/>
      <c r="C222" s="53" t="str">
        <f aca="false">IF(B222="","",IFERROR(INDEX('Kitting Plan'!$D$5:$D$18,MATCH(B222,'Kitting Plan'!$C$5:$C$18,0)),"Unknown code"))</f>
        <v/>
      </c>
      <c r="D222" s="53" t="str">
        <f aca="false">IF(B222="","",IFERROR(INDEX('Kitting Plan'!$B$5:$B$18,MATCH(B222,'Kitting Plan'!$C$5:$C$18,0)),""))</f>
        <v/>
      </c>
      <c r="E222" s="45"/>
      <c r="F222" s="54" t="str">
        <f aca="false">IF(B222="","",IFERROR(IF(OR(E222="",E222="All"),INDEX('Kitting Plan'!$E$5:$E$18,MATCH(B222,'Kitting Plan'!$C$5:$C$18,0)),INDEX('Kitting Plan'!$H$5:$H$18,MATCH(B222,'Kitting Plan'!$C$5:$C$18,0))),""))</f>
        <v/>
      </c>
      <c r="G222" s="45"/>
      <c r="H222" s="55" t="str">
        <f aca="false">IF(B222="","",IF(G222="",F222,G222))</f>
        <v/>
      </c>
      <c r="I222" s="45"/>
      <c r="J222" s="56"/>
      <c r="K222" s="46"/>
      <c r="L222" s="53" t="str">
        <f aca="false">IF(A222="","",IF(B222="","Missing code",IF(C222="Unknown code","Unknown code",IF(COUNTIF($A$6:$A$505,A222)&gt;1,"Duplicate WO",""))))</f>
        <v/>
      </c>
    </row>
    <row r="223" customFormat="false" ht="15" hidden="false" customHeight="false" outlineLevel="0" collapsed="false">
      <c r="A223" s="46"/>
      <c r="B223" s="46"/>
      <c r="C223" s="53" t="str">
        <f aca="false">IF(B223="","",IFERROR(INDEX('Kitting Plan'!$D$5:$D$18,MATCH(B223,'Kitting Plan'!$C$5:$C$18,0)),"Unknown code"))</f>
        <v/>
      </c>
      <c r="D223" s="53" t="str">
        <f aca="false">IF(B223="","",IFERROR(INDEX('Kitting Plan'!$B$5:$B$18,MATCH(B223,'Kitting Plan'!$C$5:$C$18,0)),""))</f>
        <v/>
      </c>
      <c r="E223" s="45"/>
      <c r="F223" s="54" t="str">
        <f aca="false">IF(B223="","",IFERROR(IF(OR(E223="",E223="All"),INDEX('Kitting Plan'!$E$5:$E$18,MATCH(B223,'Kitting Plan'!$C$5:$C$18,0)),INDEX('Kitting Plan'!$H$5:$H$18,MATCH(B223,'Kitting Plan'!$C$5:$C$18,0))),""))</f>
        <v/>
      </c>
      <c r="G223" s="45"/>
      <c r="H223" s="55" t="str">
        <f aca="false">IF(B223="","",IF(G223="",F223,G223))</f>
        <v/>
      </c>
      <c r="I223" s="45"/>
      <c r="J223" s="56"/>
      <c r="K223" s="46"/>
      <c r="L223" s="53" t="str">
        <f aca="false">IF(A223="","",IF(B223="","Missing code",IF(C223="Unknown code","Unknown code",IF(COUNTIF($A$6:$A$505,A223)&gt;1,"Duplicate WO",""))))</f>
        <v/>
      </c>
    </row>
    <row r="224" customFormat="false" ht="15" hidden="false" customHeight="false" outlineLevel="0" collapsed="false">
      <c r="A224" s="46"/>
      <c r="B224" s="46"/>
      <c r="C224" s="53" t="str">
        <f aca="false">IF(B224="","",IFERROR(INDEX('Kitting Plan'!$D$5:$D$18,MATCH(B224,'Kitting Plan'!$C$5:$C$18,0)),"Unknown code"))</f>
        <v/>
      </c>
      <c r="D224" s="53" t="str">
        <f aca="false">IF(B224="","",IFERROR(INDEX('Kitting Plan'!$B$5:$B$18,MATCH(B224,'Kitting Plan'!$C$5:$C$18,0)),""))</f>
        <v/>
      </c>
      <c r="E224" s="45"/>
      <c r="F224" s="54" t="str">
        <f aca="false">IF(B224="","",IFERROR(IF(OR(E224="",E224="All"),INDEX('Kitting Plan'!$E$5:$E$18,MATCH(B224,'Kitting Plan'!$C$5:$C$18,0)),INDEX('Kitting Plan'!$H$5:$H$18,MATCH(B224,'Kitting Plan'!$C$5:$C$18,0))),""))</f>
        <v/>
      </c>
      <c r="G224" s="45"/>
      <c r="H224" s="55" t="str">
        <f aca="false">IF(B224="","",IF(G224="",F224,G224))</f>
        <v/>
      </c>
      <c r="I224" s="45"/>
      <c r="J224" s="56"/>
      <c r="K224" s="46"/>
      <c r="L224" s="53" t="str">
        <f aca="false">IF(A224="","",IF(B224="","Missing code",IF(C224="Unknown code","Unknown code",IF(COUNTIF($A$6:$A$505,A224)&gt;1,"Duplicate WO",""))))</f>
        <v/>
      </c>
    </row>
    <row r="225" customFormat="false" ht="15" hidden="false" customHeight="false" outlineLevel="0" collapsed="false">
      <c r="A225" s="46"/>
      <c r="B225" s="46"/>
      <c r="C225" s="53" t="str">
        <f aca="false">IF(B225="","",IFERROR(INDEX('Kitting Plan'!$D$5:$D$18,MATCH(B225,'Kitting Plan'!$C$5:$C$18,0)),"Unknown code"))</f>
        <v/>
      </c>
      <c r="D225" s="53" t="str">
        <f aca="false">IF(B225="","",IFERROR(INDEX('Kitting Plan'!$B$5:$B$18,MATCH(B225,'Kitting Plan'!$C$5:$C$18,0)),""))</f>
        <v/>
      </c>
      <c r="E225" s="45"/>
      <c r="F225" s="54" t="str">
        <f aca="false">IF(B225="","",IFERROR(IF(OR(E225="",E225="All"),INDEX('Kitting Plan'!$E$5:$E$18,MATCH(B225,'Kitting Plan'!$C$5:$C$18,0)),INDEX('Kitting Plan'!$H$5:$H$18,MATCH(B225,'Kitting Plan'!$C$5:$C$18,0))),""))</f>
        <v/>
      </c>
      <c r="G225" s="45"/>
      <c r="H225" s="55" t="str">
        <f aca="false">IF(B225="","",IF(G225="",F225,G225))</f>
        <v/>
      </c>
      <c r="I225" s="45"/>
      <c r="J225" s="56"/>
      <c r="K225" s="46"/>
      <c r="L225" s="53" t="str">
        <f aca="false">IF(A225="","",IF(B225="","Missing code",IF(C225="Unknown code","Unknown code",IF(COUNTIF($A$6:$A$505,A225)&gt;1,"Duplicate WO",""))))</f>
        <v/>
      </c>
    </row>
    <row r="226" customFormat="false" ht="15" hidden="false" customHeight="false" outlineLevel="0" collapsed="false">
      <c r="A226" s="46"/>
      <c r="B226" s="46"/>
      <c r="C226" s="53" t="str">
        <f aca="false">IF(B226="","",IFERROR(INDEX('Kitting Plan'!$D$5:$D$18,MATCH(B226,'Kitting Plan'!$C$5:$C$18,0)),"Unknown code"))</f>
        <v/>
      </c>
      <c r="D226" s="53" t="str">
        <f aca="false">IF(B226="","",IFERROR(INDEX('Kitting Plan'!$B$5:$B$18,MATCH(B226,'Kitting Plan'!$C$5:$C$18,0)),""))</f>
        <v/>
      </c>
      <c r="E226" s="45"/>
      <c r="F226" s="54" t="str">
        <f aca="false">IF(B226="","",IFERROR(IF(OR(E226="",E226="All"),INDEX('Kitting Plan'!$E$5:$E$18,MATCH(B226,'Kitting Plan'!$C$5:$C$18,0)),INDEX('Kitting Plan'!$H$5:$H$18,MATCH(B226,'Kitting Plan'!$C$5:$C$18,0))),""))</f>
        <v/>
      </c>
      <c r="G226" s="45"/>
      <c r="H226" s="55" t="str">
        <f aca="false">IF(B226="","",IF(G226="",F226,G226))</f>
        <v/>
      </c>
      <c r="I226" s="45"/>
      <c r="J226" s="56"/>
      <c r="K226" s="46"/>
      <c r="L226" s="53" t="str">
        <f aca="false">IF(A226="","",IF(B226="","Missing code",IF(C226="Unknown code","Unknown code",IF(COUNTIF($A$6:$A$505,A226)&gt;1,"Duplicate WO",""))))</f>
        <v/>
      </c>
    </row>
    <row r="227" customFormat="false" ht="15" hidden="false" customHeight="false" outlineLevel="0" collapsed="false">
      <c r="A227" s="46"/>
      <c r="B227" s="46"/>
      <c r="C227" s="53" t="str">
        <f aca="false">IF(B227="","",IFERROR(INDEX('Kitting Plan'!$D$5:$D$18,MATCH(B227,'Kitting Plan'!$C$5:$C$18,0)),"Unknown code"))</f>
        <v/>
      </c>
      <c r="D227" s="53" t="str">
        <f aca="false">IF(B227="","",IFERROR(INDEX('Kitting Plan'!$B$5:$B$18,MATCH(B227,'Kitting Plan'!$C$5:$C$18,0)),""))</f>
        <v/>
      </c>
      <c r="E227" s="45"/>
      <c r="F227" s="54" t="str">
        <f aca="false">IF(B227="","",IFERROR(IF(OR(E227="",E227="All"),INDEX('Kitting Plan'!$E$5:$E$18,MATCH(B227,'Kitting Plan'!$C$5:$C$18,0)),INDEX('Kitting Plan'!$H$5:$H$18,MATCH(B227,'Kitting Plan'!$C$5:$C$18,0))),""))</f>
        <v/>
      </c>
      <c r="G227" s="45"/>
      <c r="H227" s="55" t="str">
        <f aca="false">IF(B227="","",IF(G227="",F227,G227))</f>
        <v/>
      </c>
      <c r="I227" s="45"/>
      <c r="J227" s="56"/>
      <c r="K227" s="46"/>
      <c r="L227" s="53" t="str">
        <f aca="false">IF(A227="","",IF(B227="","Missing code",IF(C227="Unknown code","Unknown code",IF(COUNTIF($A$6:$A$505,A227)&gt;1,"Duplicate WO",""))))</f>
        <v/>
      </c>
    </row>
    <row r="228" customFormat="false" ht="15" hidden="false" customHeight="false" outlineLevel="0" collapsed="false">
      <c r="A228" s="46"/>
      <c r="B228" s="46"/>
      <c r="C228" s="53" t="str">
        <f aca="false">IF(B228="","",IFERROR(INDEX('Kitting Plan'!$D$5:$D$18,MATCH(B228,'Kitting Plan'!$C$5:$C$18,0)),"Unknown code"))</f>
        <v/>
      </c>
      <c r="D228" s="53" t="str">
        <f aca="false">IF(B228="","",IFERROR(INDEX('Kitting Plan'!$B$5:$B$18,MATCH(B228,'Kitting Plan'!$C$5:$C$18,0)),""))</f>
        <v/>
      </c>
      <c r="E228" s="45"/>
      <c r="F228" s="54" t="str">
        <f aca="false">IF(B228="","",IFERROR(IF(OR(E228="",E228="All"),INDEX('Kitting Plan'!$E$5:$E$18,MATCH(B228,'Kitting Plan'!$C$5:$C$18,0)),INDEX('Kitting Plan'!$H$5:$H$18,MATCH(B228,'Kitting Plan'!$C$5:$C$18,0))),""))</f>
        <v/>
      </c>
      <c r="G228" s="45"/>
      <c r="H228" s="55" t="str">
        <f aca="false">IF(B228="","",IF(G228="",F228,G228))</f>
        <v/>
      </c>
      <c r="I228" s="45"/>
      <c r="J228" s="56"/>
      <c r="K228" s="46"/>
      <c r="L228" s="53" t="str">
        <f aca="false">IF(A228="","",IF(B228="","Missing code",IF(C228="Unknown code","Unknown code",IF(COUNTIF($A$6:$A$505,A228)&gt;1,"Duplicate WO",""))))</f>
        <v/>
      </c>
    </row>
    <row r="229" customFormat="false" ht="15" hidden="false" customHeight="false" outlineLevel="0" collapsed="false">
      <c r="A229" s="46"/>
      <c r="B229" s="46"/>
      <c r="C229" s="53" t="str">
        <f aca="false">IF(B229="","",IFERROR(INDEX('Kitting Plan'!$D$5:$D$18,MATCH(B229,'Kitting Plan'!$C$5:$C$18,0)),"Unknown code"))</f>
        <v/>
      </c>
      <c r="D229" s="53" t="str">
        <f aca="false">IF(B229="","",IFERROR(INDEX('Kitting Plan'!$B$5:$B$18,MATCH(B229,'Kitting Plan'!$C$5:$C$18,0)),""))</f>
        <v/>
      </c>
      <c r="E229" s="45"/>
      <c r="F229" s="54" t="str">
        <f aca="false">IF(B229="","",IFERROR(IF(OR(E229="",E229="All"),INDEX('Kitting Plan'!$E$5:$E$18,MATCH(B229,'Kitting Plan'!$C$5:$C$18,0)),INDEX('Kitting Plan'!$H$5:$H$18,MATCH(B229,'Kitting Plan'!$C$5:$C$18,0))),""))</f>
        <v/>
      </c>
      <c r="G229" s="45"/>
      <c r="H229" s="55" t="str">
        <f aca="false">IF(B229="","",IF(G229="",F229,G229))</f>
        <v/>
      </c>
      <c r="I229" s="45"/>
      <c r="J229" s="56"/>
      <c r="K229" s="46"/>
      <c r="L229" s="53" t="str">
        <f aca="false">IF(A229="","",IF(B229="","Missing code",IF(C229="Unknown code","Unknown code",IF(COUNTIF($A$6:$A$505,A229)&gt;1,"Duplicate WO",""))))</f>
        <v/>
      </c>
    </row>
    <row r="230" customFormat="false" ht="15" hidden="false" customHeight="false" outlineLevel="0" collapsed="false">
      <c r="A230" s="46"/>
      <c r="B230" s="46"/>
      <c r="C230" s="53" t="str">
        <f aca="false">IF(B230="","",IFERROR(INDEX('Kitting Plan'!$D$5:$D$18,MATCH(B230,'Kitting Plan'!$C$5:$C$18,0)),"Unknown code"))</f>
        <v/>
      </c>
      <c r="D230" s="53" t="str">
        <f aca="false">IF(B230="","",IFERROR(INDEX('Kitting Plan'!$B$5:$B$18,MATCH(B230,'Kitting Plan'!$C$5:$C$18,0)),""))</f>
        <v/>
      </c>
      <c r="E230" s="45"/>
      <c r="F230" s="54" t="str">
        <f aca="false">IF(B230="","",IFERROR(IF(OR(E230="",E230="All"),INDEX('Kitting Plan'!$E$5:$E$18,MATCH(B230,'Kitting Plan'!$C$5:$C$18,0)),INDEX('Kitting Plan'!$H$5:$H$18,MATCH(B230,'Kitting Plan'!$C$5:$C$18,0))),""))</f>
        <v/>
      </c>
      <c r="G230" s="45"/>
      <c r="H230" s="55" t="str">
        <f aca="false">IF(B230="","",IF(G230="",F230,G230))</f>
        <v/>
      </c>
      <c r="I230" s="45"/>
      <c r="J230" s="56"/>
      <c r="K230" s="46"/>
      <c r="L230" s="53" t="str">
        <f aca="false">IF(A230="","",IF(B230="","Missing code",IF(C230="Unknown code","Unknown code",IF(COUNTIF($A$6:$A$505,A230)&gt;1,"Duplicate WO",""))))</f>
        <v/>
      </c>
    </row>
    <row r="231" customFormat="false" ht="15" hidden="false" customHeight="false" outlineLevel="0" collapsed="false">
      <c r="A231" s="46"/>
      <c r="B231" s="46"/>
      <c r="C231" s="53" t="str">
        <f aca="false">IF(B231="","",IFERROR(INDEX('Kitting Plan'!$D$5:$D$18,MATCH(B231,'Kitting Plan'!$C$5:$C$18,0)),"Unknown code"))</f>
        <v/>
      </c>
      <c r="D231" s="53" t="str">
        <f aca="false">IF(B231="","",IFERROR(INDEX('Kitting Plan'!$B$5:$B$18,MATCH(B231,'Kitting Plan'!$C$5:$C$18,0)),""))</f>
        <v/>
      </c>
      <c r="E231" s="45"/>
      <c r="F231" s="54" t="str">
        <f aca="false">IF(B231="","",IFERROR(IF(OR(E231="",E231="All"),INDEX('Kitting Plan'!$E$5:$E$18,MATCH(B231,'Kitting Plan'!$C$5:$C$18,0)),INDEX('Kitting Plan'!$H$5:$H$18,MATCH(B231,'Kitting Plan'!$C$5:$C$18,0))),""))</f>
        <v/>
      </c>
      <c r="G231" s="45"/>
      <c r="H231" s="55" t="str">
        <f aca="false">IF(B231="","",IF(G231="",F231,G231))</f>
        <v/>
      </c>
      <c r="I231" s="45"/>
      <c r="J231" s="56"/>
      <c r="K231" s="46"/>
      <c r="L231" s="53" t="str">
        <f aca="false">IF(A231="","",IF(B231="","Missing code",IF(C231="Unknown code","Unknown code",IF(COUNTIF($A$6:$A$505,A231)&gt;1,"Duplicate WO",""))))</f>
        <v/>
      </c>
    </row>
    <row r="232" customFormat="false" ht="15" hidden="false" customHeight="false" outlineLevel="0" collapsed="false">
      <c r="A232" s="46"/>
      <c r="B232" s="46"/>
      <c r="C232" s="53" t="str">
        <f aca="false">IF(B232="","",IFERROR(INDEX('Kitting Plan'!$D$5:$D$18,MATCH(B232,'Kitting Plan'!$C$5:$C$18,0)),"Unknown code"))</f>
        <v/>
      </c>
      <c r="D232" s="53" t="str">
        <f aca="false">IF(B232="","",IFERROR(INDEX('Kitting Plan'!$B$5:$B$18,MATCH(B232,'Kitting Plan'!$C$5:$C$18,0)),""))</f>
        <v/>
      </c>
      <c r="E232" s="45"/>
      <c r="F232" s="54" t="str">
        <f aca="false">IF(B232="","",IFERROR(IF(OR(E232="",E232="All"),INDEX('Kitting Plan'!$E$5:$E$18,MATCH(B232,'Kitting Plan'!$C$5:$C$18,0)),INDEX('Kitting Plan'!$H$5:$H$18,MATCH(B232,'Kitting Plan'!$C$5:$C$18,0))),""))</f>
        <v/>
      </c>
      <c r="G232" s="45"/>
      <c r="H232" s="55" t="str">
        <f aca="false">IF(B232="","",IF(G232="",F232,G232))</f>
        <v/>
      </c>
      <c r="I232" s="45"/>
      <c r="J232" s="56"/>
      <c r="K232" s="46"/>
      <c r="L232" s="53" t="str">
        <f aca="false">IF(A232="","",IF(B232="","Missing code",IF(C232="Unknown code","Unknown code",IF(COUNTIF($A$6:$A$505,A232)&gt;1,"Duplicate WO",""))))</f>
        <v/>
      </c>
    </row>
    <row r="233" customFormat="false" ht="15" hidden="false" customHeight="false" outlineLevel="0" collapsed="false">
      <c r="A233" s="46"/>
      <c r="B233" s="46"/>
      <c r="C233" s="53" t="str">
        <f aca="false">IF(B233="","",IFERROR(INDEX('Kitting Plan'!$D$5:$D$18,MATCH(B233,'Kitting Plan'!$C$5:$C$18,0)),"Unknown code"))</f>
        <v/>
      </c>
      <c r="D233" s="53" t="str">
        <f aca="false">IF(B233="","",IFERROR(INDEX('Kitting Plan'!$B$5:$B$18,MATCH(B233,'Kitting Plan'!$C$5:$C$18,0)),""))</f>
        <v/>
      </c>
      <c r="E233" s="45"/>
      <c r="F233" s="54" t="str">
        <f aca="false">IF(B233="","",IFERROR(IF(OR(E233="",E233="All"),INDEX('Kitting Plan'!$E$5:$E$18,MATCH(B233,'Kitting Plan'!$C$5:$C$18,0)),INDEX('Kitting Plan'!$H$5:$H$18,MATCH(B233,'Kitting Plan'!$C$5:$C$18,0))),""))</f>
        <v/>
      </c>
      <c r="G233" s="45"/>
      <c r="H233" s="55" t="str">
        <f aca="false">IF(B233="","",IF(G233="",F233,G233))</f>
        <v/>
      </c>
      <c r="I233" s="45"/>
      <c r="J233" s="56"/>
      <c r="K233" s="46"/>
      <c r="L233" s="53" t="str">
        <f aca="false">IF(A233="","",IF(B233="","Missing code",IF(C233="Unknown code","Unknown code",IF(COUNTIF($A$6:$A$505,A233)&gt;1,"Duplicate WO",""))))</f>
        <v/>
      </c>
    </row>
    <row r="234" customFormat="false" ht="15" hidden="false" customHeight="false" outlineLevel="0" collapsed="false">
      <c r="A234" s="46"/>
      <c r="B234" s="46"/>
      <c r="C234" s="53" t="str">
        <f aca="false">IF(B234="","",IFERROR(INDEX('Kitting Plan'!$D$5:$D$18,MATCH(B234,'Kitting Plan'!$C$5:$C$18,0)),"Unknown code"))</f>
        <v/>
      </c>
      <c r="D234" s="53" t="str">
        <f aca="false">IF(B234="","",IFERROR(INDEX('Kitting Plan'!$B$5:$B$18,MATCH(B234,'Kitting Plan'!$C$5:$C$18,0)),""))</f>
        <v/>
      </c>
      <c r="E234" s="45"/>
      <c r="F234" s="54" t="str">
        <f aca="false">IF(B234="","",IFERROR(IF(OR(E234="",E234="All"),INDEX('Kitting Plan'!$E$5:$E$18,MATCH(B234,'Kitting Plan'!$C$5:$C$18,0)),INDEX('Kitting Plan'!$H$5:$H$18,MATCH(B234,'Kitting Plan'!$C$5:$C$18,0))),""))</f>
        <v/>
      </c>
      <c r="G234" s="45"/>
      <c r="H234" s="55" t="str">
        <f aca="false">IF(B234="","",IF(G234="",F234,G234))</f>
        <v/>
      </c>
      <c r="I234" s="45"/>
      <c r="J234" s="56"/>
      <c r="K234" s="46"/>
      <c r="L234" s="53" t="str">
        <f aca="false">IF(A234="","",IF(B234="","Missing code",IF(C234="Unknown code","Unknown code",IF(COUNTIF($A$6:$A$505,A234)&gt;1,"Duplicate WO",""))))</f>
        <v/>
      </c>
    </row>
    <row r="235" customFormat="false" ht="15" hidden="false" customHeight="false" outlineLevel="0" collapsed="false">
      <c r="A235" s="46"/>
      <c r="B235" s="46"/>
      <c r="C235" s="53" t="str">
        <f aca="false">IF(B235="","",IFERROR(INDEX('Kitting Plan'!$D$5:$D$18,MATCH(B235,'Kitting Plan'!$C$5:$C$18,0)),"Unknown code"))</f>
        <v/>
      </c>
      <c r="D235" s="53" t="str">
        <f aca="false">IF(B235="","",IFERROR(INDEX('Kitting Plan'!$B$5:$B$18,MATCH(B235,'Kitting Plan'!$C$5:$C$18,0)),""))</f>
        <v/>
      </c>
      <c r="E235" s="45"/>
      <c r="F235" s="54" t="str">
        <f aca="false">IF(B235="","",IFERROR(IF(OR(E235="",E235="All"),INDEX('Kitting Plan'!$E$5:$E$18,MATCH(B235,'Kitting Plan'!$C$5:$C$18,0)),INDEX('Kitting Plan'!$H$5:$H$18,MATCH(B235,'Kitting Plan'!$C$5:$C$18,0))),""))</f>
        <v/>
      </c>
      <c r="G235" s="45"/>
      <c r="H235" s="55" t="str">
        <f aca="false">IF(B235="","",IF(G235="",F235,G235))</f>
        <v/>
      </c>
      <c r="I235" s="45"/>
      <c r="J235" s="56"/>
      <c r="K235" s="46"/>
      <c r="L235" s="53" t="str">
        <f aca="false">IF(A235="","",IF(B235="","Missing code",IF(C235="Unknown code","Unknown code",IF(COUNTIF($A$6:$A$505,A235)&gt;1,"Duplicate WO",""))))</f>
        <v/>
      </c>
    </row>
    <row r="236" customFormat="false" ht="15" hidden="false" customHeight="false" outlineLevel="0" collapsed="false">
      <c r="A236" s="46"/>
      <c r="B236" s="46"/>
      <c r="C236" s="53" t="str">
        <f aca="false">IF(B236="","",IFERROR(INDEX('Kitting Plan'!$D$5:$D$18,MATCH(B236,'Kitting Plan'!$C$5:$C$18,0)),"Unknown code"))</f>
        <v/>
      </c>
      <c r="D236" s="53" t="str">
        <f aca="false">IF(B236="","",IFERROR(INDEX('Kitting Plan'!$B$5:$B$18,MATCH(B236,'Kitting Plan'!$C$5:$C$18,0)),""))</f>
        <v/>
      </c>
      <c r="E236" s="45"/>
      <c r="F236" s="54" t="str">
        <f aca="false">IF(B236="","",IFERROR(IF(OR(E236="",E236="All"),INDEX('Kitting Plan'!$E$5:$E$18,MATCH(B236,'Kitting Plan'!$C$5:$C$18,0)),INDEX('Kitting Plan'!$H$5:$H$18,MATCH(B236,'Kitting Plan'!$C$5:$C$18,0))),""))</f>
        <v/>
      </c>
      <c r="G236" s="45"/>
      <c r="H236" s="55" t="str">
        <f aca="false">IF(B236="","",IF(G236="",F236,G236))</f>
        <v/>
      </c>
      <c r="I236" s="45"/>
      <c r="J236" s="56"/>
      <c r="K236" s="46"/>
      <c r="L236" s="53" t="str">
        <f aca="false">IF(A236="","",IF(B236="","Missing code",IF(C236="Unknown code","Unknown code",IF(COUNTIF($A$6:$A$505,A236)&gt;1,"Duplicate WO",""))))</f>
        <v/>
      </c>
    </row>
    <row r="237" customFormat="false" ht="15" hidden="false" customHeight="false" outlineLevel="0" collapsed="false">
      <c r="A237" s="46"/>
      <c r="B237" s="46"/>
      <c r="C237" s="53" t="str">
        <f aca="false">IF(B237="","",IFERROR(INDEX('Kitting Plan'!$D$5:$D$18,MATCH(B237,'Kitting Plan'!$C$5:$C$18,0)),"Unknown code"))</f>
        <v/>
      </c>
      <c r="D237" s="53" t="str">
        <f aca="false">IF(B237="","",IFERROR(INDEX('Kitting Plan'!$B$5:$B$18,MATCH(B237,'Kitting Plan'!$C$5:$C$18,0)),""))</f>
        <v/>
      </c>
      <c r="E237" s="45"/>
      <c r="F237" s="54" t="str">
        <f aca="false">IF(B237="","",IFERROR(IF(OR(E237="",E237="All"),INDEX('Kitting Plan'!$E$5:$E$18,MATCH(B237,'Kitting Plan'!$C$5:$C$18,0)),INDEX('Kitting Plan'!$H$5:$H$18,MATCH(B237,'Kitting Plan'!$C$5:$C$18,0))),""))</f>
        <v/>
      </c>
      <c r="G237" s="45"/>
      <c r="H237" s="55" t="str">
        <f aca="false">IF(B237="","",IF(G237="",F237,G237))</f>
        <v/>
      </c>
      <c r="I237" s="45"/>
      <c r="J237" s="56"/>
      <c r="K237" s="46"/>
      <c r="L237" s="53" t="str">
        <f aca="false">IF(A237="","",IF(B237="","Missing code",IF(C237="Unknown code","Unknown code",IF(COUNTIF($A$6:$A$505,A237)&gt;1,"Duplicate WO",""))))</f>
        <v/>
      </c>
    </row>
    <row r="238" customFormat="false" ht="15" hidden="false" customHeight="false" outlineLevel="0" collapsed="false">
      <c r="A238" s="46"/>
      <c r="B238" s="46"/>
      <c r="C238" s="53" t="str">
        <f aca="false">IF(B238="","",IFERROR(INDEX('Kitting Plan'!$D$5:$D$18,MATCH(B238,'Kitting Plan'!$C$5:$C$18,0)),"Unknown code"))</f>
        <v/>
      </c>
      <c r="D238" s="53" t="str">
        <f aca="false">IF(B238="","",IFERROR(INDEX('Kitting Plan'!$B$5:$B$18,MATCH(B238,'Kitting Plan'!$C$5:$C$18,0)),""))</f>
        <v/>
      </c>
      <c r="E238" s="45"/>
      <c r="F238" s="54" t="str">
        <f aca="false">IF(B238="","",IFERROR(IF(OR(E238="",E238="All"),INDEX('Kitting Plan'!$E$5:$E$18,MATCH(B238,'Kitting Plan'!$C$5:$C$18,0)),INDEX('Kitting Plan'!$H$5:$H$18,MATCH(B238,'Kitting Plan'!$C$5:$C$18,0))),""))</f>
        <v/>
      </c>
      <c r="G238" s="45"/>
      <c r="H238" s="55" t="str">
        <f aca="false">IF(B238="","",IF(G238="",F238,G238))</f>
        <v/>
      </c>
      <c r="I238" s="45"/>
      <c r="J238" s="56"/>
      <c r="K238" s="46"/>
      <c r="L238" s="53" t="str">
        <f aca="false">IF(A238="","",IF(B238="","Missing code",IF(C238="Unknown code","Unknown code",IF(COUNTIF($A$6:$A$505,A238)&gt;1,"Duplicate WO",""))))</f>
        <v/>
      </c>
    </row>
    <row r="239" customFormat="false" ht="15" hidden="false" customHeight="false" outlineLevel="0" collapsed="false">
      <c r="A239" s="46"/>
      <c r="B239" s="46"/>
      <c r="C239" s="53" t="str">
        <f aca="false">IF(B239="","",IFERROR(INDEX('Kitting Plan'!$D$5:$D$18,MATCH(B239,'Kitting Plan'!$C$5:$C$18,0)),"Unknown code"))</f>
        <v/>
      </c>
      <c r="D239" s="53" t="str">
        <f aca="false">IF(B239="","",IFERROR(INDEX('Kitting Plan'!$B$5:$B$18,MATCH(B239,'Kitting Plan'!$C$5:$C$18,0)),""))</f>
        <v/>
      </c>
      <c r="E239" s="45"/>
      <c r="F239" s="54" t="str">
        <f aca="false">IF(B239="","",IFERROR(IF(OR(E239="",E239="All"),INDEX('Kitting Plan'!$E$5:$E$18,MATCH(B239,'Kitting Plan'!$C$5:$C$18,0)),INDEX('Kitting Plan'!$H$5:$H$18,MATCH(B239,'Kitting Plan'!$C$5:$C$18,0))),""))</f>
        <v/>
      </c>
      <c r="G239" s="45"/>
      <c r="H239" s="55" t="str">
        <f aca="false">IF(B239="","",IF(G239="",F239,G239))</f>
        <v/>
      </c>
      <c r="I239" s="45"/>
      <c r="J239" s="56"/>
      <c r="K239" s="46"/>
      <c r="L239" s="53" t="str">
        <f aca="false">IF(A239="","",IF(B239="","Missing code",IF(C239="Unknown code","Unknown code",IF(COUNTIF($A$6:$A$505,A239)&gt;1,"Duplicate WO",""))))</f>
        <v/>
      </c>
    </row>
    <row r="240" customFormat="false" ht="15" hidden="false" customHeight="false" outlineLevel="0" collapsed="false">
      <c r="A240" s="46"/>
      <c r="B240" s="46"/>
      <c r="C240" s="53" t="str">
        <f aca="false">IF(B240="","",IFERROR(INDEX('Kitting Plan'!$D$5:$D$18,MATCH(B240,'Kitting Plan'!$C$5:$C$18,0)),"Unknown code"))</f>
        <v/>
      </c>
      <c r="D240" s="53" t="str">
        <f aca="false">IF(B240="","",IFERROR(INDEX('Kitting Plan'!$B$5:$B$18,MATCH(B240,'Kitting Plan'!$C$5:$C$18,0)),""))</f>
        <v/>
      </c>
      <c r="E240" s="45"/>
      <c r="F240" s="54" t="str">
        <f aca="false">IF(B240="","",IFERROR(IF(OR(E240="",E240="All"),INDEX('Kitting Plan'!$E$5:$E$18,MATCH(B240,'Kitting Plan'!$C$5:$C$18,0)),INDEX('Kitting Plan'!$H$5:$H$18,MATCH(B240,'Kitting Plan'!$C$5:$C$18,0))),""))</f>
        <v/>
      </c>
      <c r="G240" s="45"/>
      <c r="H240" s="55" t="str">
        <f aca="false">IF(B240="","",IF(G240="",F240,G240))</f>
        <v/>
      </c>
      <c r="I240" s="45"/>
      <c r="J240" s="56"/>
      <c r="K240" s="46"/>
      <c r="L240" s="53" t="str">
        <f aca="false">IF(A240="","",IF(B240="","Missing code",IF(C240="Unknown code","Unknown code",IF(COUNTIF($A$6:$A$505,A240)&gt;1,"Duplicate WO",""))))</f>
        <v/>
      </c>
    </row>
    <row r="241" customFormat="false" ht="15" hidden="false" customHeight="false" outlineLevel="0" collapsed="false">
      <c r="A241" s="46"/>
      <c r="B241" s="46"/>
      <c r="C241" s="53" t="str">
        <f aca="false">IF(B241="","",IFERROR(INDEX('Kitting Plan'!$D$5:$D$18,MATCH(B241,'Kitting Plan'!$C$5:$C$18,0)),"Unknown code"))</f>
        <v/>
      </c>
      <c r="D241" s="53" t="str">
        <f aca="false">IF(B241="","",IFERROR(INDEX('Kitting Plan'!$B$5:$B$18,MATCH(B241,'Kitting Plan'!$C$5:$C$18,0)),""))</f>
        <v/>
      </c>
      <c r="E241" s="45"/>
      <c r="F241" s="54" t="str">
        <f aca="false">IF(B241="","",IFERROR(IF(OR(E241="",E241="All"),INDEX('Kitting Plan'!$E$5:$E$18,MATCH(B241,'Kitting Plan'!$C$5:$C$18,0)),INDEX('Kitting Plan'!$H$5:$H$18,MATCH(B241,'Kitting Plan'!$C$5:$C$18,0))),""))</f>
        <v/>
      </c>
      <c r="G241" s="45"/>
      <c r="H241" s="55" t="str">
        <f aca="false">IF(B241="","",IF(G241="",F241,G241))</f>
        <v/>
      </c>
      <c r="I241" s="45"/>
      <c r="J241" s="56"/>
      <c r="K241" s="46"/>
      <c r="L241" s="53" t="str">
        <f aca="false">IF(A241="","",IF(B241="","Missing code",IF(C241="Unknown code","Unknown code",IF(COUNTIF($A$6:$A$505,A241)&gt;1,"Duplicate WO",""))))</f>
        <v/>
      </c>
    </row>
    <row r="242" customFormat="false" ht="15" hidden="false" customHeight="false" outlineLevel="0" collapsed="false">
      <c r="A242" s="46"/>
      <c r="B242" s="46"/>
      <c r="C242" s="53" t="str">
        <f aca="false">IF(B242="","",IFERROR(INDEX('Kitting Plan'!$D$5:$D$18,MATCH(B242,'Kitting Plan'!$C$5:$C$18,0)),"Unknown code"))</f>
        <v/>
      </c>
      <c r="D242" s="53" t="str">
        <f aca="false">IF(B242="","",IFERROR(INDEX('Kitting Plan'!$B$5:$B$18,MATCH(B242,'Kitting Plan'!$C$5:$C$18,0)),""))</f>
        <v/>
      </c>
      <c r="E242" s="45"/>
      <c r="F242" s="54" t="str">
        <f aca="false">IF(B242="","",IFERROR(IF(OR(E242="",E242="All"),INDEX('Kitting Plan'!$E$5:$E$18,MATCH(B242,'Kitting Plan'!$C$5:$C$18,0)),INDEX('Kitting Plan'!$H$5:$H$18,MATCH(B242,'Kitting Plan'!$C$5:$C$18,0))),""))</f>
        <v/>
      </c>
      <c r="G242" s="45"/>
      <c r="H242" s="55" t="str">
        <f aca="false">IF(B242="","",IF(G242="",F242,G242))</f>
        <v/>
      </c>
      <c r="I242" s="45"/>
      <c r="J242" s="56"/>
      <c r="K242" s="46"/>
      <c r="L242" s="53" t="str">
        <f aca="false">IF(A242="","",IF(B242="","Missing code",IF(C242="Unknown code","Unknown code",IF(COUNTIF($A$6:$A$505,A242)&gt;1,"Duplicate WO",""))))</f>
        <v/>
      </c>
    </row>
    <row r="243" customFormat="false" ht="15" hidden="false" customHeight="false" outlineLevel="0" collapsed="false">
      <c r="A243" s="46"/>
      <c r="B243" s="46"/>
      <c r="C243" s="53" t="str">
        <f aca="false">IF(B243="","",IFERROR(INDEX('Kitting Plan'!$D$5:$D$18,MATCH(B243,'Kitting Plan'!$C$5:$C$18,0)),"Unknown code"))</f>
        <v/>
      </c>
      <c r="D243" s="53" t="str">
        <f aca="false">IF(B243="","",IFERROR(INDEX('Kitting Plan'!$B$5:$B$18,MATCH(B243,'Kitting Plan'!$C$5:$C$18,0)),""))</f>
        <v/>
      </c>
      <c r="E243" s="45"/>
      <c r="F243" s="54" t="str">
        <f aca="false">IF(B243="","",IFERROR(IF(OR(E243="",E243="All"),INDEX('Kitting Plan'!$E$5:$E$18,MATCH(B243,'Kitting Plan'!$C$5:$C$18,0)),INDEX('Kitting Plan'!$H$5:$H$18,MATCH(B243,'Kitting Plan'!$C$5:$C$18,0))),""))</f>
        <v/>
      </c>
      <c r="G243" s="45"/>
      <c r="H243" s="55" t="str">
        <f aca="false">IF(B243="","",IF(G243="",F243,G243))</f>
        <v/>
      </c>
      <c r="I243" s="45"/>
      <c r="J243" s="56"/>
      <c r="K243" s="46"/>
      <c r="L243" s="53" t="str">
        <f aca="false">IF(A243="","",IF(B243="","Missing code",IF(C243="Unknown code","Unknown code",IF(COUNTIF($A$6:$A$505,A243)&gt;1,"Duplicate WO",""))))</f>
        <v/>
      </c>
    </row>
    <row r="244" customFormat="false" ht="15" hidden="false" customHeight="false" outlineLevel="0" collapsed="false">
      <c r="A244" s="46"/>
      <c r="B244" s="46"/>
      <c r="C244" s="53" t="str">
        <f aca="false">IF(B244="","",IFERROR(INDEX('Kitting Plan'!$D$5:$D$18,MATCH(B244,'Kitting Plan'!$C$5:$C$18,0)),"Unknown code"))</f>
        <v/>
      </c>
      <c r="D244" s="53" t="str">
        <f aca="false">IF(B244="","",IFERROR(INDEX('Kitting Plan'!$B$5:$B$18,MATCH(B244,'Kitting Plan'!$C$5:$C$18,0)),""))</f>
        <v/>
      </c>
      <c r="E244" s="45"/>
      <c r="F244" s="54" t="str">
        <f aca="false">IF(B244="","",IFERROR(IF(OR(E244="",E244="All"),INDEX('Kitting Plan'!$E$5:$E$18,MATCH(B244,'Kitting Plan'!$C$5:$C$18,0)),INDEX('Kitting Plan'!$H$5:$H$18,MATCH(B244,'Kitting Plan'!$C$5:$C$18,0))),""))</f>
        <v/>
      </c>
      <c r="G244" s="45"/>
      <c r="H244" s="55" t="str">
        <f aca="false">IF(B244="","",IF(G244="",F244,G244))</f>
        <v/>
      </c>
      <c r="I244" s="45"/>
      <c r="J244" s="56"/>
      <c r="K244" s="46"/>
      <c r="L244" s="53" t="str">
        <f aca="false">IF(A244="","",IF(B244="","Missing code",IF(C244="Unknown code","Unknown code",IF(COUNTIF($A$6:$A$505,A244)&gt;1,"Duplicate WO",""))))</f>
        <v/>
      </c>
    </row>
    <row r="245" customFormat="false" ht="15" hidden="false" customHeight="false" outlineLevel="0" collapsed="false">
      <c r="A245" s="46"/>
      <c r="B245" s="46"/>
      <c r="C245" s="53" t="str">
        <f aca="false">IF(B245="","",IFERROR(INDEX('Kitting Plan'!$D$5:$D$18,MATCH(B245,'Kitting Plan'!$C$5:$C$18,0)),"Unknown code"))</f>
        <v/>
      </c>
      <c r="D245" s="53" t="str">
        <f aca="false">IF(B245="","",IFERROR(INDEX('Kitting Plan'!$B$5:$B$18,MATCH(B245,'Kitting Plan'!$C$5:$C$18,0)),""))</f>
        <v/>
      </c>
      <c r="E245" s="45"/>
      <c r="F245" s="54" t="str">
        <f aca="false">IF(B245="","",IFERROR(IF(OR(E245="",E245="All"),INDEX('Kitting Plan'!$E$5:$E$18,MATCH(B245,'Kitting Plan'!$C$5:$C$18,0)),INDEX('Kitting Plan'!$H$5:$H$18,MATCH(B245,'Kitting Plan'!$C$5:$C$18,0))),""))</f>
        <v/>
      </c>
      <c r="G245" s="45"/>
      <c r="H245" s="55" t="str">
        <f aca="false">IF(B245="","",IF(G245="",F245,G245))</f>
        <v/>
      </c>
      <c r="I245" s="45"/>
      <c r="J245" s="56"/>
      <c r="K245" s="46"/>
      <c r="L245" s="53" t="str">
        <f aca="false">IF(A245="","",IF(B245="","Missing code",IF(C245="Unknown code","Unknown code",IF(COUNTIF($A$6:$A$505,A245)&gt;1,"Duplicate WO",""))))</f>
        <v/>
      </c>
    </row>
    <row r="246" customFormat="false" ht="15" hidden="false" customHeight="false" outlineLevel="0" collapsed="false">
      <c r="A246" s="46"/>
      <c r="B246" s="46"/>
      <c r="C246" s="53" t="str">
        <f aca="false">IF(B246="","",IFERROR(INDEX('Kitting Plan'!$D$5:$D$18,MATCH(B246,'Kitting Plan'!$C$5:$C$18,0)),"Unknown code"))</f>
        <v/>
      </c>
      <c r="D246" s="53" t="str">
        <f aca="false">IF(B246="","",IFERROR(INDEX('Kitting Plan'!$B$5:$B$18,MATCH(B246,'Kitting Plan'!$C$5:$C$18,0)),""))</f>
        <v/>
      </c>
      <c r="E246" s="45"/>
      <c r="F246" s="54" t="str">
        <f aca="false">IF(B246="","",IFERROR(IF(OR(E246="",E246="All"),INDEX('Kitting Plan'!$E$5:$E$18,MATCH(B246,'Kitting Plan'!$C$5:$C$18,0)),INDEX('Kitting Plan'!$H$5:$H$18,MATCH(B246,'Kitting Plan'!$C$5:$C$18,0))),""))</f>
        <v/>
      </c>
      <c r="G246" s="45"/>
      <c r="H246" s="55" t="str">
        <f aca="false">IF(B246="","",IF(G246="",F246,G246))</f>
        <v/>
      </c>
      <c r="I246" s="45"/>
      <c r="J246" s="56"/>
      <c r="K246" s="46"/>
      <c r="L246" s="53" t="str">
        <f aca="false">IF(A246="","",IF(B246="","Missing code",IF(C246="Unknown code","Unknown code",IF(COUNTIF($A$6:$A$505,A246)&gt;1,"Duplicate WO",""))))</f>
        <v/>
      </c>
    </row>
    <row r="247" customFormat="false" ht="15" hidden="false" customHeight="false" outlineLevel="0" collapsed="false">
      <c r="A247" s="46"/>
      <c r="B247" s="46"/>
      <c r="C247" s="53" t="str">
        <f aca="false">IF(B247="","",IFERROR(INDEX('Kitting Plan'!$D$5:$D$18,MATCH(B247,'Kitting Plan'!$C$5:$C$18,0)),"Unknown code"))</f>
        <v/>
      </c>
      <c r="D247" s="53" t="str">
        <f aca="false">IF(B247="","",IFERROR(INDEX('Kitting Plan'!$B$5:$B$18,MATCH(B247,'Kitting Plan'!$C$5:$C$18,0)),""))</f>
        <v/>
      </c>
      <c r="E247" s="45"/>
      <c r="F247" s="54" t="str">
        <f aca="false">IF(B247="","",IFERROR(IF(OR(E247="",E247="All"),INDEX('Kitting Plan'!$E$5:$E$18,MATCH(B247,'Kitting Plan'!$C$5:$C$18,0)),INDEX('Kitting Plan'!$H$5:$H$18,MATCH(B247,'Kitting Plan'!$C$5:$C$18,0))),""))</f>
        <v/>
      </c>
      <c r="G247" s="45"/>
      <c r="H247" s="55" t="str">
        <f aca="false">IF(B247="","",IF(G247="",F247,G247))</f>
        <v/>
      </c>
      <c r="I247" s="45"/>
      <c r="J247" s="56"/>
      <c r="K247" s="46"/>
      <c r="L247" s="53" t="str">
        <f aca="false">IF(A247="","",IF(B247="","Missing code",IF(C247="Unknown code","Unknown code",IF(COUNTIF($A$6:$A$505,A247)&gt;1,"Duplicate WO",""))))</f>
        <v/>
      </c>
    </row>
    <row r="248" customFormat="false" ht="15" hidden="false" customHeight="false" outlineLevel="0" collapsed="false">
      <c r="A248" s="46"/>
      <c r="B248" s="46"/>
      <c r="C248" s="53" t="str">
        <f aca="false">IF(B248="","",IFERROR(INDEX('Kitting Plan'!$D$5:$D$18,MATCH(B248,'Kitting Plan'!$C$5:$C$18,0)),"Unknown code"))</f>
        <v/>
      </c>
      <c r="D248" s="53" t="str">
        <f aca="false">IF(B248="","",IFERROR(INDEX('Kitting Plan'!$B$5:$B$18,MATCH(B248,'Kitting Plan'!$C$5:$C$18,0)),""))</f>
        <v/>
      </c>
      <c r="E248" s="45"/>
      <c r="F248" s="54" t="str">
        <f aca="false">IF(B248="","",IFERROR(IF(OR(E248="",E248="All"),INDEX('Kitting Plan'!$E$5:$E$18,MATCH(B248,'Kitting Plan'!$C$5:$C$18,0)),INDEX('Kitting Plan'!$H$5:$H$18,MATCH(B248,'Kitting Plan'!$C$5:$C$18,0))),""))</f>
        <v/>
      </c>
      <c r="G248" s="45"/>
      <c r="H248" s="55" t="str">
        <f aca="false">IF(B248="","",IF(G248="",F248,G248))</f>
        <v/>
      </c>
      <c r="I248" s="45"/>
      <c r="J248" s="56"/>
      <c r="K248" s="46"/>
      <c r="L248" s="53" t="str">
        <f aca="false">IF(A248="","",IF(B248="","Missing code",IF(C248="Unknown code","Unknown code",IF(COUNTIF($A$6:$A$505,A248)&gt;1,"Duplicate WO",""))))</f>
        <v/>
      </c>
    </row>
    <row r="249" customFormat="false" ht="15" hidden="false" customHeight="false" outlineLevel="0" collapsed="false">
      <c r="A249" s="46"/>
      <c r="B249" s="46"/>
      <c r="C249" s="53" t="str">
        <f aca="false">IF(B249="","",IFERROR(INDEX('Kitting Plan'!$D$5:$D$18,MATCH(B249,'Kitting Plan'!$C$5:$C$18,0)),"Unknown code"))</f>
        <v/>
      </c>
      <c r="D249" s="53" t="str">
        <f aca="false">IF(B249="","",IFERROR(INDEX('Kitting Plan'!$B$5:$B$18,MATCH(B249,'Kitting Plan'!$C$5:$C$18,0)),""))</f>
        <v/>
      </c>
      <c r="E249" s="45"/>
      <c r="F249" s="54" t="str">
        <f aca="false">IF(B249="","",IFERROR(IF(OR(E249="",E249="All"),INDEX('Kitting Plan'!$E$5:$E$18,MATCH(B249,'Kitting Plan'!$C$5:$C$18,0)),INDEX('Kitting Plan'!$H$5:$H$18,MATCH(B249,'Kitting Plan'!$C$5:$C$18,0))),""))</f>
        <v/>
      </c>
      <c r="G249" s="45"/>
      <c r="H249" s="55" t="str">
        <f aca="false">IF(B249="","",IF(G249="",F249,G249))</f>
        <v/>
      </c>
      <c r="I249" s="45"/>
      <c r="J249" s="56"/>
      <c r="K249" s="46"/>
      <c r="L249" s="53" t="str">
        <f aca="false">IF(A249="","",IF(B249="","Missing code",IF(C249="Unknown code","Unknown code",IF(COUNTIF($A$6:$A$505,A249)&gt;1,"Duplicate WO",""))))</f>
        <v/>
      </c>
    </row>
    <row r="250" customFormat="false" ht="15" hidden="false" customHeight="false" outlineLevel="0" collapsed="false">
      <c r="A250" s="46"/>
      <c r="B250" s="46"/>
      <c r="C250" s="53" t="str">
        <f aca="false">IF(B250="","",IFERROR(INDEX('Kitting Plan'!$D$5:$D$18,MATCH(B250,'Kitting Plan'!$C$5:$C$18,0)),"Unknown code"))</f>
        <v/>
      </c>
      <c r="D250" s="53" t="str">
        <f aca="false">IF(B250="","",IFERROR(INDEX('Kitting Plan'!$B$5:$B$18,MATCH(B250,'Kitting Plan'!$C$5:$C$18,0)),""))</f>
        <v/>
      </c>
      <c r="E250" s="45"/>
      <c r="F250" s="54" t="str">
        <f aca="false">IF(B250="","",IFERROR(IF(OR(E250="",E250="All"),INDEX('Kitting Plan'!$E$5:$E$18,MATCH(B250,'Kitting Plan'!$C$5:$C$18,0)),INDEX('Kitting Plan'!$H$5:$H$18,MATCH(B250,'Kitting Plan'!$C$5:$C$18,0))),""))</f>
        <v/>
      </c>
      <c r="G250" s="45"/>
      <c r="H250" s="55" t="str">
        <f aca="false">IF(B250="","",IF(G250="",F250,G250))</f>
        <v/>
      </c>
      <c r="I250" s="45"/>
      <c r="J250" s="56"/>
      <c r="K250" s="46"/>
      <c r="L250" s="53" t="str">
        <f aca="false">IF(A250="","",IF(B250="","Missing code",IF(C250="Unknown code","Unknown code",IF(COUNTIF($A$6:$A$505,A250)&gt;1,"Duplicate WO",""))))</f>
        <v/>
      </c>
    </row>
    <row r="251" customFormat="false" ht="15" hidden="false" customHeight="false" outlineLevel="0" collapsed="false">
      <c r="A251" s="46"/>
      <c r="B251" s="46"/>
      <c r="C251" s="53" t="str">
        <f aca="false">IF(B251="","",IFERROR(INDEX('Kitting Plan'!$D$5:$D$18,MATCH(B251,'Kitting Plan'!$C$5:$C$18,0)),"Unknown code"))</f>
        <v/>
      </c>
      <c r="D251" s="53" t="str">
        <f aca="false">IF(B251="","",IFERROR(INDEX('Kitting Plan'!$B$5:$B$18,MATCH(B251,'Kitting Plan'!$C$5:$C$18,0)),""))</f>
        <v/>
      </c>
      <c r="E251" s="45"/>
      <c r="F251" s="54" t="str">
        <f aca="false">IF(B251="","",IFERROR(IF(OR(E251="",E251="All"),INDEX('Kitting Plan'!$E$5:$E$18,MATCH(B251,'Kitting Plan'!$C$5:$C$18,0)),INDEX('Kitting Plan'!$H$5:$H$18,MATCH(B251,'Kitting Plan'!$C$5:$C$18,0))),""))</f>
        <v/>
      </c>
      <c r="G251" s="45"/>
      <c r="H251" s="55" t="str">
        <f aca="false">IF(B251="","",IF(G251="",F251,G251))</f>
        <v/>
      </c>
      <c r="I251" s="45"/>
      <c r="J251" s="56"/>
      <c r="K251" s="46"/>
      <c r="L251" s="53" t="str">
        <f aca="false">IF(A251="","",IF(B251="","Missing code",IF(C251="Unknown code","Unknown code",IF(COUNTIF($A$6:$A$505,A251)&gt;1,"Duplicate WO",""))))</f>
        <v/>
      </c>
    </row>
    <row r="252" customFormat="false" ht="15" hidden="false" customHeight="false" outlineLevel="0" collapsed="false">
      <c r="A252" s="46"/>
      <c r="B252" s="46"/>
      <c r="C252" s="53" t="str">
        <f aca="false">IF(B252="","",IFERROR(INDEX('Kitting Plan'!$D$5:$D$18,MATCH(B252,'Kitting Plan'!$C$5:$C$18,0)),"Unknown code"))</f>
        <v/>
      </c>
      <c r="D252" s="53" t="str">
        <f aca="false">IF(B252="","",IFERROR(INDEX('Kitting Plan'!$B$5:$B$18,MATCH(B252,'Kitting Plan'!$C$5:$C$18,0)),""))</f>
        <v/>
      </c>
      <c r="E252" s="45"/>
      <c r="F252" s="54" t="str">
        <f aca="false">IF(B252="","",IFERROR(IF(OR(E252="",E252="All"),INDEX('Kitting Plan'!$E$5:$E$18,MATCH(B252,'Kitting Plan'!$C$5:$C$18,0)),INDEX('Kitting Plan'!$H$5:$H$18,MATCH(B252,'Kitting Plan'!$C$5:$C$18,0))),""))</f>
        <v/>
      </c>
      <c r="G252" s="45"/>
      <c r="H252" s="55" t="str">
        <f aca="false">IF(B252="","",IF(G252="",F252,G252))</f>
        <v/>
      </c>
      <c r="I252" s="45"/>
      <c r="J252" s="56"/>
      <c r="K252" s="46"/>
      <c r="L252" s="53" t="str">
        <f aca="false">IF(A252="","",IF(B252="","Missing code",IF(C252="Unknown code","Unknown code",IF(COUNTIF($A$6:$A$505,A252)&gt;1,"Duplicate WO",""))))</f>
        <v/>
      </c>
    </row>
    <row r="253" customFormat="false" ht="15" hidden="false" customHeight="false" outlineLevel="0" collapsed="false">
      <c r="A253" s="46"/>
      <c r="B253" s="46"/>
      <c r="C253" s="53" t="str">
        <f aca="false">IF(B253="","",IFERROR(INDEX('Kitting Plan'!$D$5:$D$18,MATCH(B253,'Kitting Plan'!$C$5:$C$18,0)),"Unknown code"))</f>
        <v/>
      </c>
      <c r="D253" s="53" t="str">
        <f aca="false">IF(B253="","",IFERROR(INDEX('Kitting Plan'!$B$5:$B$18,MATCH(B253,'Kitting Plan'!$C$5:$C$18,0)),""))</f>
        <v/>
      </c>
      <c r="E253" s="45"/>
      <c r="F253" s="54" t="str">
        <f aca="false">IF(B253="","",IFERROR(IF(OR(E253="",E253="All"),INDEX('Kitting Plan'!$E$5:$E$18,MATCH(B253,'Kitting Plan'!$C$5:$C$18,0)),INDEX('Kitting Plan'!$H$5:$H$18,MATCH(B253,'Kitting Plan'!$C$5:$C$18,0))),""))</f>
        <v/>
      </c>
      <c r="G253" s="45"/>
      <c r="H253" s="55" t="str">
        <f aca="false">IF(B253="","",IF(G253="",F253,G253))</f>
        <v/>
      </c>
      <c r="I253" s="45"/>
      <c r="J253" s="56"/>
      <c r="K253" s="46"/>
      <c r="L253" s="53" t="str">
        <f aca="false">IF(A253="","",IF(B253="","Missing code",IF(C253="Unknown code","Unknown code",IF(COUNTIF($A$6:$A$505,A253)&gt;1,"Duplicate WO",""))))</f>
        <v/>
      </c>
    </row>
    <row r="254" customFormat="false" ht="15" hidden="false" customHeight="false" outlineLevel="0" collapsed="false">
      <c r="A254" s="46"/>
      <c r="B254" s="46"/>
      <c r="C254" s="53" t="str">
        <f aca="false">IF(B254="","",IFERROR(INDEX('Kitting Plan'!$D$5:$D$18,MATCH(B254,'Kitting Plan'!$C$5:$C$18,0)),"Unknown code"))</f>
        <v/>
      </c>
      <c r="D254" s="53" t="str">
        <f aca="false">IF(B254="","",IFERROR(INDEX('Kitting Plan'!$B$5:$B$18,MATCH(B254,'Kitting Plan'!$C$5:$C$18,0)),""))</f>
        <v/>
      </c>
      <c r="E254" s="45"/>
      <c r="F254" s="54" t="str">
        <f aca="false">IF(B254="","",IFERROR(IF(OR(E254="",E254="All"),INDEX('Kitting Plan'!$E$5:$E$18,MATCH(B254,'Kitting Plan'!$C$5:$C$18,0)),INDEX('Kitting Plan'!$H$5:$H$18,MATCH(B254,'Kitting Plan'!$C$5:$C$18,0))),""))</f>
        <v/>
      </c>
      <c r="G254" s="45"/>
      <c r="H254" s="55" t="str">
        <f aca="false">IF(B254="","",IF(G254="",F254,G254))</f>
        <v/>
      </c>
      <c r="I254" s="45"/>
      <c r="J254" s="56"/>
      <c r="K254" s="46"/>
      <c r="L254" s="53" t="str">
        <f aca="false">IF(A254="","",IF(B254="","Missing code",IF(C254="Unknown code","Unknown code",IF(COUNTIF($A$6:$A$505,A254)&gt;1,"Duplicate WO",""))))</f>
        <v/>
      </c>
    </row>
    <row r="255" customFormat="false" ht="15" hidden="false" customHeight="false" outlineLevel="0" collapsed="false">
      <c r="A255" s="46"/>
      <c r="B255" s="46"/>
      <c r="C255" s="53" t="str">
        <f aca="false">IF(B255="","",IFERROR(INDEX('Kitting Plan'!$D$5:$D$18,MATCH(B255,'Kitting Plan'!$C$5:$C$18,0)),"Unknown code"))</f>
        <v/>
      </c>
      <c r="D255" s="53" t="str">
        <f aca="false">IF(B255="","",IFERROR(INDEX('Kitting Plan'!$B$5:$B$18,MATCH(B255,'Kitting Plan'!$C$5:$C$18,0)),""))</f>
        <v/>
      </c>
      <c r="E255" s="45"/>
      <c r="F255" s="54" t="str">
        <f aca="false">IF(B255="","",IFERROR(IF(OR(E255="",E255="All"),INDEX('Kitting Plan'!$E$5:$E$18,MATCH(B255,'Kitting Plan'!$C$5:$C$18,0)),INDEX('Kitting Plan'!$H$5:$H$18,MATCH(B255,'Kitting Plan'!$C$5:$C$18,0))),""))</f>
        <v/>
      </c>
      <c r="G255" s="45"/>
      <c r="H255" s="55" t="str">
        <f aca="false">IF(B255="","",IF(G255="",F255,G255))</f>
        <v/>
      </c>
      <c r="I255" s="45"/>
      <c r="J255" s="56"/>
      <c r="K255" s="46"/>
      <c r="L255" s="53" t="str">
        <f aca="false">IF(A255="","",IF(B255="","Missing code",IF(C255="Unknown code","Unknown code",IF(COUNTIF($A$6:$A$505,A255)&gt;1,"Duplicate WO",""))))</f>
        <v/>
      </c>
    </row>
    <row r="256" customFormat="false" ht="15" hidden="false" customHeight="false" outlineLevel="0" collapsed="false">
      <c r="A256" s="46"/>
      <c r="B256" s="46"/>
      <c r="C256" s="53" t="str">
        <f aca="false">IF(B256="","",IFERROR(INDEX('Kitting Plan'!$D$5:$D$18,MATCH(B256,'Kitting Plan'!$C$5:$C$18,0)),"Unknown code"))</f>
        <v/>
      </c>
      <c r="D256" s="53" t="str">
        <f aca="false">IF(B256="","",IFERROR(INDEX('Kitting Plan'!$B$5:$B$18,MATCH(B256,'Kitting Plan'!$C$5:$C$18,0)),""))</f>
        <v/>
      </c>
      <c r="E256" s="45"/>
      <c r="F256" s="54" t="str">
        <f aca="false">IF(B256="","",IFERROR(IF(OR(E256="",E256="All"),INDEX('Kitting Plan'!$E$5:$E$18,MATCH(B256,'Kitting Plan'!$C$5:$C$18,0)),INDEX('Kitting Plan'!$H$5:$H$18,MATCH(B256,'Kitting Plan'!$C$5:$C$18,0))),""))</f>
        <v/>
      </c>
      <c r="G256" s="45"/>
      <c r="H256" s="55" t="str">
        <f aca="false">IF(B256="","",IF(G256="",F256,G256))</f>
        <v/>
      </c>
      <c r="I256" s="45"/>
      <c r="J256" s="56"/>
      <c r="K256" s="46"/>
      <c r="L256" s="53" t="str">
        <f aca="false">IF(A256="","",IF(B256="","Missing code",IF(C256="Unknown code","Unknown code",IF(COUNTIF($A$6:$A$505,A256)&gt;1,"Duplicate WO",""))))</f>
        <v/>
      </c>
    </row>
    <row r="257" customFormat="false" ht="15" hidden="false" customHeight="false" outlineLevel="0" collapsed="false">
      <c r="A257" s="46"/>
      <c r="B257" s="46"/>
      <c r="C257" s="53" t="str">
        <f aca="false">IF(B257="","",IFERROR(INDEX('Kitting Plan'!$D$5:$D$18,MATCH(B257,'Kitting Plan'!$C$5:$C$18,0)),"Unknown code"))</f>
        <v/>
      </c>
      <c r="D257" s="53" t="str">
        <f aca="false">IF(B257="","",IFERROR(INDEX('Kitting Plan'!$B$5:$B$18,MATCH(B257,'Kitting Plan'!$C$5:$C$18,0)),""))</f>
        <v/>
      </c>
      <c r="E257" s="45"/>
      <c r="F257" s="54" t="str">
        <f aca="false">IF(B257="","",IFERROR(IF(OR(E257="",E257="All"),INDEX('Kitting Plan'!$E$5:$E$18,MATCH(B257,'Kitting Plan'!$C$5:$C$18,0)),INDEX('Kitting Plan'!$H$5:$H$18,MATCH(B257,'Kitting Plan'!$C$5:$C$18,0))),""))</f>
        <v/>
      </c>
      <c r="G257" s="45"/>
      <c r="H257" s="55" t="str">
        <f aca="false">IF(B257="","",IF(G257="",F257,G257))</f>
        <v/>
      </c>
      <c r="I257" s="45"/>
      <c r="J257" s="56"/>
      <c r="K257" s="46"/>
      <c r="L257" s="53" t="str">
        <f aca="false">IF(A257="","",IF(B257="","Missing code",IF(C257="Unknown code","Unknown code",IF(COUNTIF($A$6:$A$505,A257)&gt;1,"Duplicate WO",""))))</f>
        <v/>
      </c>
    </row>
    <row r="258" customFormat="false" ht="15" hidden="false" customHeight="false" outlineLevel="0" collapsed="false">
      <c r="A258" s="46"/>
      <c r="B258" s="46"/>
      <c r="C258" s="53" t="str">
        <f aca="false">IF(B258="","",IFERROR(INDEX('Kitting Plan'!$D$5:$D$18,MATCH(B258,'Kitting Plan'!$C$5:$C$18,0)),"Unknown code"))</f>
        <v/>
      </c>
      <c r="D258" s="53" t="str">
        <f aca="false">IF(B258="","",IFERROR(INDEX('Kitting Plan'!$B$5:$B$18,MATCH(B258,'Kitting Plan'!$C$5:$C$18,0)),""))</f>
        <v/>
      </c>
      <c r="E258" s="45"/>
      <c r="F258" s="54" t="str">
        <f aca="false">IF(B258="","",IFERROR(IF(OR(E258="",E258="All"),INDEX('Kitting Plan'!$E$5:$E$18,MATCH(B258,'Kitting Plan'!$C$5:$C$18,0)),INDEX('Kitting Plan'!$H$5:$H$18,MATCH(B258,'Kitting Plan'!$C$5:$C$18,0))),""))</f>
        <v/>
      </c>
      <c r="G258" s="45"/>
      <c r="H258" s="55" t="str">
        <f aca="false">IF(B258="","",IF(G258="",F258,G258))</f>
        <v/>
      </c>
      <c r="I258" s="45"/>
      <c r="J258" s="56"/>
      <c r="K258" s="46"/>
      <c r="L258" s="53" t="str">
        <f aca="false">IF(A258="","",IF(B258="","Missing code",IF(C258="Unknown code","Unknown code",IF(COUNTIF($A$6:$A$505,A258)&gt;1,"Duplicate WO",""))))</f>
        <v/>
      </c>
    </row>
    <row r="259" customFormat="false" ht="15" hidden="false" customHeight="false" outlineLevel="0" collapsed="false">
      <c r="A259" s="46"/>
      <c r="B259" s="46"/>
      <c r="C259" s="53" t="str">
        <f aca="false">IF(B259="","",IFERROR(INDEX('Kitting Plan'!$D$5:$D$18,MATCH(B259,'Kitting Plan'!$C$5:$C$18,0)),"Unknown code"))</f>
        <v/>
      </c>
      <c r="D259" s="53" t="str">
        <f aca="false">IF(B259="","",IFERROR(INDEX('Kitting Plan'!$B$5:$B$18,MATCH(B259,'Kitting Plan'!$C$5:$C$18,0)),""))</f>
        <v/>
      </c>
      <c r="E259" s="45"/>
      <c r="F259" s="54" t="str">
        <f aca="false">IF(B259="","",IFERROR(IF(OR(E259="",E259="All"),INDEX('Kitting Plan'!$E$5:$E$18,MATCH(B259,'Kitting Plan'!$C$5:$C$18,0)),INDEX('Kitting Plan'!$H$5:$H$18,MATCH(B259,'Kitting Plan'!$C$5:$C$18,0))),""))</f>
        <v/>
      </c>
      <c r="G259" s="45"/>
      <c r="H259" s="55" t="str">
        <f aca="false">IF(B259="","",IF(G259="",F259,G259))</f>
        <v/>
      </c>
      <c r="I259" s="45"/>
      <c r="J259" s="56"/>
      <c r="K259" s="46"/>
      <c r="L259" s="53" t="str">
        <f aca="false">IF(A259="","",IF(B259="","Missing code",IF(C259="Unknown code","Unknown code",IF(COUNTIF($A$6:$A$505,A259)&gt;1,"Duplicate WO",""))))</f>
        <v/>
      </c>
    </row>
    <row r="260" customFormat="false" ht="15" hidden="false" customHeight="false" outlineLevel="0" collapsed="false">
      <c r="A260" s="46"/>
      <c r="B260" s="46"/>
      <c r="C260" s="53" t="str">
        <f aca="false">IF(B260="","",IFERROR(INDEX('Kitting Plan'!$D$5:$D$18,MATCH(B260,'Kitting Plan'!$C$5:$C$18,0)),"Unknown code"))</f>
        <v/>
      </c>
      <c r="D260" s="53" t="str">
        <f aca="false">IF(B260="","",IFERROR(INDEX('Kitting Plan'!$B$5:$B$18,MATCH(B260,'Kitting Plan'!$C$5:$C$18,0)),""))</f>
        <v/>
      </c>
      <c r="E260" s="45"/>
      <c r="F260" s="54" t="str">
        <f aca="false">IF(B260="","",IFERROR(IF(OR(E260="",E260="All"),INDEX('Kitting Plan'!$E$5:$E$18,MATCH(B260,'Kitting Plan'!$C$5:$C$18,0)),INDEX('Kitting Plan'!$H$5:$H$18,MATCH(B260,'Kitting Plan'!$C$5:$C$18,0))),""))</f>
        <v/>
      </c>
      <c r="G260" s="45"/>
      <c r="H260" s="55" t="str">
        <f aca="false">IF(B260="","",IF(G260="",F260,G260))</f>
        <v/>
      </c>
      <c r="I260" s="45"/>
      <c r="J260" s="56"/>
      <c r="K260" s="46"/>
      <c r="L260" s="53" t="str">
        <f aca="false">IF(A260="","",IF(B260="","Missing code",IF(C260="Unknown code","Unknown code",IF(COUNTIF($A$6:$A$505,A260)&gt;1,"Duplicate WO",""))))</f>
        <v/>
      </c>
    </row>
    <row r="261" customFormat="false" ht="15" hidden="false" customHeight="false" outlineLevel="0" collapsed="false">
      <c r="A261" s="46"/>
      <c r="B261" s="46"/>
      <c r="C261" s="53" t="str">
        <f aca="false">IF(B261="","",IFERROR(INDEX('Kitting Plan'!$D$5:$D$18,MATCH(B261,'Kitting Plan'!$C$5:$C$18,0)),"Unknown code"))</f>
        <v/>
      </c>
      <c r="D261" s="53" t="str">
        <f aca="false">IF(B261="","",IFERROR(INDEX('Kitting Plan'!$B$5:$B$18,MATCH(B261,'Kitting Plan'!$C$5:$C$18,0)),""))</f>
        <v/>
      </c>
      <c r="E261" s="45"/>
      <c r="F261" s="54" t="str">
        <f aca="false">IF(B261="","",IFERROR(IF(OR(E261="",E261="All"),INDEX('Kitting Plan'!$E$5:$E$18,MATCH(B261,'Kitting Plan'!$C$5:$C$18,0)),INDEX('Kitting Plan'!$H$5:$H$18,MATCH(B261,'Kitting Plan'!$C$5:$C$18,0))),""))</f>
        <v/>
      </c>
      <c r="G261" s="45"/>
      <c r="H261" s="55" t="str">
        <f aca="false">IF(B261="","",IF(G261="",F261,G261))</f>
        <v/>
      </c>
      <c r="I261" s="45"/>
      <c r="J261" s="56"/>
      <c r="K261" s="46"/>
      <c r="L261" s="53" t="str">
        <f aca="false">IF(A261="","",IF(B261="","Missing code",IF(C261="Unknown code","Unknown code",IF(COUNTIF($A$6:$A$505,A261)&gt;1,"Duplicate WO",""))))</f>
        <v/>
      </c>
    </row>
    <row r="262" customFormat="false" ht="15" hidden="false" customHeight="false" outlineLevel="0" collapsed="false">
      <c r="A262" s="46"/>
      <c r="B262" s="46"/>
      <c r="C262" s="53" t="str">
        <f aca="false">IF(B262="","",IFERROR(INDEX('Kitting Plan'!$D$5:$D$18,MATCH(B262,'Kitting Plan'!$C$5:$C$18,0)),"Unknown code"))</f>
        <v/>
      </c>
      <c r="D262" s="53" t="str">
        <f aca="false">IF(B262="","",IFERROR(INDEX('Kitting Plan'!$B$5:$B$18,MATCH(B262,'Kitting Plan'!$C$5:$C$18,0)),""))</f>
        <v/>
      </c>
      <c r="E262" s="45"/>
      <c r="F262" s="54" t="str">
        <f aca="false">IF(B262="","",IFERROR(IF(OR(E262="",E262="All"),INDEX('Kitting Plan'!$E$5:$E$18,MATCH(B262,'Kitting Plan'!$C$5:$C$18,0)),INDEX('Kitting Plan'!$H$5:$H$18,MATCH(B262,'Kitting Plan'!$C$5:$C$18,0))),""))</f>
        <v/>
      </c>
      <c r="G262" s="45"/>
      <c r="H262" s="55" t="str">
        <f aca="false">IF(B262="","",IF(G262="",F262,G262))</f>
        <v/>
      </c>
      <c r="I262" s="45"/>
      <c r="J262" s="56"/>
      <c r="K262" s="46"/>
      <c r="L262" s="53" t="str">
        <f aca="false">IF(A262="","",IF(B262="","Missing code",IF(C262="Unknown code","Unknown code",IF(COUNTIF($A$6:$A$505,A262)&gt;1,"Duplicate WO",""))))</f>
        <v/>
      </c>
    </row>
    <row r="263" customFormat="false" ht="15" hidden="false" customHeight="false" outlineLevel="0" collapsed="false">
      <c r="A263" s="46"/>
      <c r="B263" s="46"/>
      <c r="C263" s="53" t="str">
        <f aca="false">IF(B263="","",IFERROR(INDEX('Kitting Plan'!$D$5:$D$18,MATCH(B263,'Kitting Plan'!$C$5:$C$18,0)),"Unknown code"))</f>
        <v/>
      </c>
      <c r="D263" s="53" t="str">
        <f aca="false">IF(B263="","",IFERROR(INDEX('Kitting Plan'!$B$5:$B$18,MATCH(B263,'Kitting Plan'!$C$5:$C$18,0)),""))</f>
        <v/>
      </c>
      <c r="E263" s="45"/>
      <c r="F263" s="54" t="str">
        <f aca="false">IF(B263="","",IFERROR(IF(OR(E263="",E263="All"),INDEX('Kitting Plan'!$E$5:$E$18,MATCH(B263,'Kitting Plan'!$C$5:$C$18,0)),INDEX('Kitting Plan'!$H$5:$H$18,MATCH(B263,'Kitting Plan'!$C$5:$C$18,0))),""))</f>
        <v/>
      </c>
      <c r="G263" s="45"/>
      <c r="H263" s="55" t="str">
        <f aca="false">IF(B263="","",IF(G263="",F263,G263))</f>
        <v/>
      </c>
      <c r="I263" s="45"/>
      <c r="J263" s="56"/>
      <c r="K263" s="46"/>
      <c r="L263" s="53" t="str">
        <f aca="false">IF(A263="","",IF(B263="","Missing code",IF(C263="Unknown code","Unknown code",IF(COUNTIF($A$6:$A$505,A263)&gt;1,"Duplicate WO",""))))</f>
        <v/>
      </c>
    </row>
    <row r="264" customFormat="false" ht="15" hidden="false" customHeight="false" outlineLevel="0" collapsed="false">
      <c r="A264" s="46"/>
      <c r="B264" s="46"/>
      <c r="C264" s="53" t="str">
        <f aca="false">IF(B264="","",IFERROR(INDEX('Kitting Plan'!$D$5:$D$18,MATCH(B264,'Kitting Plan'!$C$5:$C$18,0)),"Unknown code"))</f>
        <v/>
      </c>
      <c r="D264" s="53" t="str">
        <f aca="false">IF(B264="","",IFERROR(INDEX('Kitting Plan'!$B$5:$B$18,MATCH(B264,'Kitting Plan'!$C$5:$C$18,0)),""))</f>
        <v/>
      </c>
      <c r="E264" s="45"/>
      <c r="F264" s="54" t="str">
        <f aca="false">IF(B264="","",IFERROR(IF(OR(E264="",E264="All"),INDEX('Kitting Plan'!$E$5:$E$18,MATCH(B264,'Kitting Plan'!$C$5:$C$18,0)),INDEX('Kitting Plan'!$H$5:$H$18,MATCH(B264,'Kitting Plan'!$C$5:$C$18,0))),""))</f>
        <v/>
      </c>
      <c r="G264" s="45"/>
      <c r="H264" s="55" t="str">
        <f aca="false">IF(B264="","",IF(G264="",F264,G264))</f>
        <v/>
      </c>
      <c r="I264" s="45"/>
      <c r="J264" s="56"/>
      <c r="K264" s="46"/>
      <c r="L264" s="53" t="str">
        <f aca="false">IF(A264="","",IF(B264="","Missing code",IF(C264="Unknown code","Unknown code",IF(COUNTIF($A$6:$A$505,A264)&gt;1,"Duplicate WO",""))))</f>
        <v/>
      </c>
    </row>
    <row r="265" customFormat="false" ht="15" hidden="false" customHeight="false" outlineLevel="0" collapsed="false">
      <c r="A265" s="46"/>
      <c r="B265" s="46"/>
      <c r="C265" s="53" t="str">
        <f aca="false">IF(B265="","",IFERROR(INDEX('Kitting Plan'!$D$5:$D$18,MATCH(B265,'Kitting Plan'!$C$5:$C$18,0)),"Unknown code"))</f>
        <v/>
      </c>
      <c r="D265" s="53" t="str">
        <f aca="false">IF(B265="","",IFERROR(INDEX('Kitting Plan'!$B$5:$B$18,MATCH(B265,'Kitting Plan'!$C$5:$C$18,0)),""))</f>
        <v/>
      </c>
      <c r="E265" s="45"/>
      <c r="F265" s="54" t="str">
        <f aca="false">IF(B265="","",IFERROR(IF(OR(E265="",E265="All"),INDEX('Kitting Plan'!$E$5:$E$18,MATCH(B265,'Kitting Plan'!$C$5:$C$18,0)),INDEX('Kitting Plan'!$H$5:$H$18,MATCH(B265,'Kitting Plan'!$C$5:$C$18,0))),""))</f>
        <v/>
      </c>
      <c r="G265" s="45"/>
      <c r="H265" s="55" t="str">
        <f aca="false">IF(B265="","",IF(G265="",F265,G265))</f>
        <v/>
      </c>
      <c r="I265" s="45"/>
      <c r="J265" s="56"/>
      <c r="K265" s="46"/>
      <c r="L265" s="53" t="str">
        <f aca="false">IF(A265="","",IF(B265="","Missing code",IF(C265="Unknown code","Unknown code",IF(COUNTIF($A$6:$A$505,A265)&gt;1,"Duplicate WO",""))))</f>
        <v/>
      </c>
    </row>
    <row r="266" customFormat="false" ht="15" hidden="false" customHeight="false" outlineLevel="0" collapsed="false">
      <c r="A266" s="46"/>
      <c r="B266" s="46"/>
      <c r="C266" s="53" t="str">
        <f aca="false">IF(B266="","",IFERROR(INDEX('Kitting Plan'!$D$5:$D$18,MATCH(B266,'Kitting Plan'!$C$5:$C$18,0)),"Unknown code"))</f>
        <v/>
      </c>
      <c r="D266" s="53" t="str">
        <f aca="false">IF(B266="","",IFERROR(INDEX('Kitting Plan'!$B$5:$B$18,MATCH(B266,'Kitting Plan'!$C$5:$C$18,0)),""))</f>
        <v/>
      </c>
      <c r="E266" s="45"/>
      <c r="F266" s="54" t="str">
        <f aca="false">IF(B266="","",IFERROR(IF(OR(E266="",E266="All"),INDEX('Kitting Plan'!$E$5:$E$18,MATCH(B266,'Kitting Plan'!$C$5:$C$18,0)),INDEX('Kitting Plan'!$H$5:$H$18,MATCH(B266,'Kitting Plan'!$C$5:$C$18,0))),""))</f>
        <v/>
      </c>
      <c r="G266" s="45"/>
      <c r="H266" s="55" t="str">
        <f aca="false">IF(B266="","",IF(G266="",F266,G266))</f>
        <v/>
      </c>
      <c r="I266" s="45"/>
      <c r="J266" s="56"/>
      <c r="K266" s="46"/>
      <c r="L266" s="53" t="str">
        <f aca="false">IF(A266="","",IF(B266="","Missing code",IF(C266="Unknown code","Unknown code",IF(COUNTIF($A$6:$A$505,A266)&gt;1,"Duplicate WO",""))))</f>
        <v/>
      </c>
    </row>
    <row r="267" customFormat="false" ht="15" hidden="false" customHeight="false" outlineLevel="0" collapsed="false">
      <c r="A267" s="46"/>
      <c r="B267" s="46"/>
      <c r="C267" s="53" t="str">
        <f aca="false">IF(B267="","",IFERROR(INDEX('Kitting Plan'!$D$5:$D$18,MATCH(B267,'Kitting Plan'!$C$5:$C$18,0)),"Unknown code"))</f>
        <v/>
      </c>
      <c r="D267" s="53" t="str">
        <f aca="false">IF(B267="","",IFERROR(INDEX('Kitting Plan'!$B$5:$B$18,MATCH(B267,'Kitting Plan'!$C$5:$C$18,0)),""))</f>
        <v/>
      </c>
      <c r="E267" s="45"/>
      <c r="F267" s="54" t="str">
        <f aca="false">IF(B267="","",IFERROR(IF(OR(E267="",E267="All"),INDEX('Kitting Plan'!$E$5:$E$18,MATCH(B267,'Kitting Plan'!$C$5:$C$18,0)),INDEX('Kitting Plan'!$H$5:$H$18,MATCH(B267,'Kitting Plan'!$C$5:$C$18,0))),""))</f>
        <v/>
      </c>
      <c r="G267" s="45"/>
      <c r="H267" s="55" t="str">
        <f aca="false">IF(B267="","",IF(G267="",F267,G267))</f>
        <v/>
      </c>
      <c r="I267" s="45"/>
      <c r="J267" s="56"/>
      <c r="K267" s="46"/>
      <c r="L267" s="53" t="str">
        <f aca="false">IF(A267="","",IF(B267="","Missing code",IF(C267="Unknown code","Unknown code",IF(COUNTIF($A$6:$A$505,A267)&gt;1,"Duplicate WO",""))))</f>
        <v/>
      </c>
    </row>
    <row r="268" customFormat="false" ht="15" hidden="false" customHeight="false" outlineLevel="0" collapsed="false">
      <c r="A268" s="46"/>
      <c r="B268" s="46"/>
      <c r="C268" s="53" t="str">
        <f aca="false">IF(B268="","",IFERROR(INDEX('Kitting Plan'!$D$5:$D$18,MATCH(B268,'Kitting Plan'!$C$5:$C$18,0)),"Unknown code"))</f>
        <v/>
      </c>
      <c r="D268" s="53" t="str">
        <f aca="false">IF(B268="","",IFERROR(INDEX('Kitting Plan'!$B$5:$B$18,MATCH(B268,'Kitting Plan'!$C$5:$C$18,0)),""))</f>
        <v/>
      </c>
      <c r="E268" s="45"/>
      <c r="F268" s="54" t="str">
        <f aca="false">IF(B268="","",IFERROR(IF(OR(E268="",E268="All"),INDEX('Kitting Plan'!$E$5:$E$18,MATCH(B268,'Kitting Plan'!$C$5:$C$18,0)),INDEX('Kitting Plan'!$H$5:$H$18,MATCH(B268,'Kitting Plan'!$C$5:$C$18,0))),""))</f>
        <v/>
      </c>
      <c r="G268" s="45"/>
      <c r="H268" s="55" t="str">
        <f aca="false">IF(B268="","",IF(G268="",F268,G268))</f>
        <v/>
      </c>
      <c r="I268" s="45"/>
      <c r="J268" s="56"/>
      <c r="K268" s="46"/>
      <c r="L268" s="53" t="str">
        <f aca="false">IF(A268="","",IF(B268="","Missing code",IF(C268="Unknown code","Unknown code",IF(COUNTIF($A$6:$A$505,A268)&gt;1,"Duplicate WO",""))))</f>
        <v/>
      </c>
    </row>
    <row r="269" customFormat="false" ht="15" hidden="false" customHeight="false" outlineLevel="0" collapsed="false">
      <c r="A269" s="46"/>
      <c r="B269" s="46"/>
      <c r="C269" s="53" t="str">
        <f aca="false">IF(B269="","",IFERROR(INDEX('Kitting Plan'!$D$5:$D$18,MATCH(B269,'Kitting Plan'!$C$5:$C$18,0)),"Unknown code"))</f>
        <v/>
      </c>
      <c r="D269" s="53" t="str">
        <f aca="false">IF(B269="","",IFERROR(INDEX('Kitting Plan'!$B$5:$B$18,MATCH(B269,'Kitting Plan'!$C$5:$C$18,0)),""))</f>
        <v/>
      </c>
      <c r="E269" s="45"/>
      <c r="F269" s="54" t="str">
        <f aca="false">IF(B269="","",IFERROR(IF(OR(E269="",E269="All"),INDEX('Kitting Plan'!$E$5:$E$18,MATCH(B269,'Kitting Plan'!$C$5:$C$18,0)),INDEX('Kitting Plan'!$H$5:$H$18,MATCH(B269,'Kitting Plan'!$C$5:$C$18,0))),""))</f>
        <v/>
      </c>
      <c r="G269" s="45"/>
      <c r="H269" s="55" t="str">
        <f aca="false">IF(B269="","",IF(G269="",F269,G269))</f>
        <v/>
      </c>
      <c r="I269" s="45"/>
      <c r="J269" s="56"/>
      <c r="K269" s="46"/>
      <c r="L269" s="53" t="str">
        <f aca="false">IF(A269="","",IF(B269="","Missing code",IF(C269="Unknown code","Unknown code",IF(COUNTIF($A$6:$A$505,A269)&gt;1,"Duplicate WO",""))))</f>
        <v/>
      </c>
    </row>
    <row r="270" customFormat="false" ht="15" hidden="false" customHeight="false" outlineLevel="0" collapsed="false">
      <c r="A270" s="46"/>
      <c r="B270" s="46"/>
      <c r="C270" s="53" t="str">
        <f aca="false">IF(B270="","",IFERROR(INDEX('Kitting Plan'!$D$5:$D$18,MATCH(B270,'Kitting Plan'!$C$5:$C$18,0)),"Unknown code"))</f>
        <v/>
      </c>
      <c r="D270" s="53" t="str">
        <f aca="false">IF(B270="","",IFERROR(INDEX('Kitting Plan'!$B$5:$B$18,MATCH(B270,'Kitting Plan'!$C$5:$C$18,0)),""))</f>
        <v/>
      </c>
      <c r="E270" s="45"/>
      <c r="F270" s="54" t="str">
        <f aca="false">IF(B270="","",IFERROR(IF(OR(E270="",E270="All"),INDEX('Kitting Plan'!$E$5:$E$18,MATCH(B270,'Kitting Plan'!$C$5:$C$18,0)),INDEX('Kitting Plan'!$H$5:$H$18,MATCH(B270,'Kitting Plan'!$C$5:$C$18,0))),""))</f>
        <v/>
      </c>
      <c r="G270" s="45"/>
      <c r="H270" s="55" t="str">
        <f aca="false">IF(B270="","",IF(G270="",F270,G270))</f>
        <v/>
      </c>
      <c r="I270" s="45"/>
      <c r="J270" s="56"/>
      <c r="K270" s="46"/>
      <c r="L270" s="53" t="str">
        <f aca="false">IF(A270="","",IF(B270="","Missing code",IF(C270="Unknown code","Unknown code",IF(COUNTIF($A$6:$A$505,A270)&gt;1,"Duplicate WO",""))))</f>
        <v/>
      </c>
    </row>
    <row r="271" customFormat="false" ht="15" hidden="false" customHeight="false" outlineLevel="0" collapsed="false">
      <c r="A271" s="46"/>
      <c r="B271" s="46"/>
      <c r="C271" s="53" t="str">
        <f aca="false">IF(B271="","",IFERROR(INDEX('Kitting Plan'!$D$5:$D$18,MATCH(B271,'Kitting Plan'!$C$5:$C$18,0)),"Unknown code"))</f>
        <v/>
      </c>
      <c r="D271" s="53" t="str">
        <f aca="false">IF(B271="","",IFERROR(INDEX('Kitting Plan'!$B$5:$B$18,MATCH(B271,'Kitting Plan'!$C$5:$C$18,0)),""))</f>
        <v/>
      </c>
      <c r="E271" s="45"/>
      <c r="F271" s="54" t="str">
        <f aca="false">IF(B271="","",IFERROR(IF(OR(E271="",E271="All"),INDEX('Kitting Plan'!$E$5:$E$18,MATCH(B271,'Kitting Plan'!$C$5:$C$18,0)),INDEX('Kitting Plan'!$H$5:$H$18,MATCH(B271,'Kitting Plan'!$C$5:$C$18,0))),""))</f>
        <v/>
      </c>
      <c r="G271" s="45"/>
      <c r="H271" s="55" t="str">
        <f aca="false">IF(B271="","",IF(G271="",F271,G271))</f>
        <v/>
      </c>
      <c r="I271" s="45"/>
      <c r="J271" s="56"/>
      <c r="K271" s="46"/>
      <c r="L271" s="53" t="str">
        <f aca="false">IF(A271="","",IF(B271="","Missing code",IF(C271="Unknown code","Unknown code",IF(COUNTIF($A$6:$A$505,A271)&gt;1,"Duplicate WO",""))))</f>
        <v/>
      </c>
    </row>
    <row r="272" customFormat="false" ht="15" hidden="false" customHeight="false" outlineLevel="0" collapsed="false">
      <c r="A272" s="46"/>
      <c r="B272" s="46"/>
      <c r="C272" s="53" t="str">
        <f aca="false">IF(B272="","",IFERROR(INDEX('Kitting Plan'!$D$5:$D$18,MATCH(B272,'Kitting Plan'!$C$5:$C$18,0)),"Unknown code"))</f>
        <v/>
      </c>
      <c r="D272" s="53" t="str">
        <f aca="false">IF(B272="","",IFERROR(INDEX('Kitting Plan'!$B$5:$B$18,MATCH(B272,'Kitting Plan'!$C$5:$C$18,0)),""))</f>
        <v/>
      </c>
      <c r="E272" s="45"/>
      <c r="F272" s="54" t="str">
        <f aca="false">IF(B272="","",IFERROR(IF(OR(E272="",E272="All"),INDEX('Kitting Plan'!$E$5:$E$18,MATCH(B272,'Kitting Plan'!$C$5:$C$18,0)),INDEX('Kitting Plan'!$H$5:$H$18,MATCH(B272,'Kitting Plan'!$C$5:$C$18,0))),""))</f>
        <v/>
      </c>
      <c r="G272" s="45"/>
      <c r="H272" s="55" t="str">
        <f aca="false">IF(B272="","",IF(G272="",F272,G272))</f>
        <v/>
      </c>
      <c r="I272" s="45"/>
      <c r="J272" s="56"/>
      <c r="K272" s="46"/>
      <c r="L272" s="53" t="str">
        <f aca="false">IF(A272="","",IF(B272="","Missing code",IF(C272="Unknown code","Unknown code",IF(COUNTIF($A$6:$A$505,A272)&gt;1,"Duplicate WO",""))))</f>
        <v/>
      </c>
    </row>
    <row r="273" customFormat="false" ht="15" hidden="false" customHeight="false" outlineLevel="0" collapsed="false">
      <c r="A273" s="46"/>
      <c r="B273" s="46"/>
      <c r="C273" s="53" t="str">
        <f aca="false">IF(B273="","",IFERROR(INDEX('Kitting Plan'!$D$5:$D$18,MATCH(B273,'Kitting Plan'!$C$5:$C$18,0)),"Unknown code"))</f>
        <v/>
      </c>
      <c r="D273" s="53" t="str">
        <f aca="false">IF(B273="","",IFERROR(INDEX('Kitting Plan'!$B$5:$B$18,MATCH(B273,'Kitting Plan'!$C$5:$C$18,0)),""))</f>
        <v/>
      </c>
      <c r="E273" s="45"/>
      <c r="F273" s="54" t="str">
        <f aca="false">IF(B273="","",IFERROR(IF(OR(E273="",E273="All"),INDEX('Kitting Plan'!$E$5:$E$18,MATCH(B273,'Kitting Plan'!$C$5:$C$18,0)),INDEX('Kitting Plan'!$H$5:$H$18,MATCH(B273,'Kitting Plan'!$C$5:$C$18,0))),""))</f>
        <v/>
      </c>
      <c r="G273" s="45"/>
      <c r="H273" s="55" t="str">
        <f aca="false">IF(B273="","",IF(G273="",F273,G273))</f>
        <v/>
      </c>
      <c r="I273" s="45"/>
      <c r="J273" s="56"/>
      <c r="K273" s="46"/>
      <c r="L273" s="53" t="str">
        <f aca="false">IF(A273="","",IF(B273="","Missing code",IF(C273="Unknown code","Unknown code",IF(COUNTIF($A$6:$A$505,A273)&gt;1,"Duplicate WO",""))))</f>
        <v/>
      </c>
    </row>
    <row r="274" customFormat="false" ht="15" hidden="false" customHeight="false" outlineLevel="0" collapsed="false">
      <c r="A274" s="46"/>
      <c r="B274" s="46"/>
      <c r="C274" s="53" t="str">
        <f aca="false">IF(B274="","",IFERROR(INDEX('Kitting Plan'!$D$5:$D$18,MATCH(B274,'Kitting Plan'!$C$5:$C$18,0)),"Unknown code"))</f>
        <v/>
      </c>
      <c r="D274" s="53" t="str">
        <f aca="false">IF(B274="","",IFERROR(INDEX('Kitting Plan'!$B$5:$B$18,MATCH(B274,'Kitting Plan'!$C$5:$C$18,0)),""))</f>
        <v/>
      </c>
      <c r="E274" s="45"/>
      <c r="F274" s="54" t="str">
        <f aca="false">IF(B274="","",IFERROR(IF(OR(E274="",E274="All"),INDEX('Kitting Plan'!$E$5:$E$18,MATCH(B274,'Kitting Plan'!$C$5:$C$18,0)),INDEX('Kitting Plan'!$H$5:$H$18,MATCH(B274,'Kitting Plan'!$C$5:$C$18,0))),""))</f>
        <v/>
      </c>
      <c r="G274" s="45"/>
      <c r="H274" s="55" t="str">
        <f aca="false">IF(B274="","",IF(G274="",F274,G274))</f>
        <v/>
      </c>
      <c r="I274" s="45"/>
      <c r="J274" s="56"/>
      <c r="K274" s="46"/>
      <c r="L274" s="53" t="str">
        <f aca="false">IF(A274="","",IF(B274="","Missing code",IF(C274="Unknown code","Unknown code",IF(COUNTIF($A$6:$A$505,A274)&gt;1,"Duplicate WO",""))))</f>
        <v/>
      </c>
    </row>
    <row r="275" customFormat="false" ht="15" hidden="false" customHeight="false" outlineLevel="0" collapsed="false">
      <c r="A275" s="46"/>
      <c r="B275" s="46"/>
      <c r="C275" s="53" t="str">
        <f aca="false">IF(B275="","",IFERROR(INDEX('Kitting Plan'!$D$5:$D$18,MATCH(B275,'Kitting Plan'!$C$5:$C$18,0)),"Unknown code"))</f>
        <v/>
      </c>
      <c r="D275" s="53" t="str">
        <f aca="false">IF(B275="","",IFERROR(INDEX('Kitting Plan'!$B$5:$B$18,MATCH(B275,'Kitting Plan'!$C$5:$C$18,0)),""))</f>
        <v/>
      </c>
      <c r="E275" s="45"/>
      <c r="F275" s="54" t="str">
        <f aca="false">IF(B275="","",IFERROR(IF(OR(E275="",E275="All"),INDEX('Kitting Plan'!$E$5:$E$18,MATCH(B275,'Kitting Plan'!$C$5:$C$18,0)),INDEX('Kitting Plan'!$H$5:$H$18,MATCH(B275,'Kitting Plan'!$C$5:$C$18,0))),""))</f>
        <v/>
      </c>
      <c r="G275" s="45"/>
      <c r="H275" s="55" t="str">
        <f aca="false">IF(B275="","",IF(G275="",F275,G275))</f>
        <v/>
      </c>
      <c r="I275" s="45"/>
      <c r="J275" s="56"/>
      <c r="K275" s="46"/>
      <c r="L275" s="53" t="str">
        <f aca="false">IF(A275="","",IF(B275="","Missing code",IF(C275="Unknown code","Unknown code",IF(COUNTIF($A$6:$A$505,A275)&gt;1,"Duplicate WO",""))))</f>
        <v/>
      </c>
    </row>
    <row r="276" customFormat="false" ht="15" hidden="false" customHeight="false" outlineLevel="0" collapsed="false">
      <c r="A276" s="46"/>
      <c r="B276" s="46"/>
      <c r="C276" s="53" t="str">
        <f aca="false">IF(B276="","",IFERROR(INDEX('Kitting Plan'!$D$5:$D$18,MATCH(B276,'Kitting Plan'!$C$5:$C$18,0)),"Unknown code"))</f>
        <v/>
      </c>
      <c r="D276" s="53" t="str">
        <f aca="false">IF(B276="","",IFERROR(INDEX('Kitting Plan'!$B$5:$B$18,MATCH(B276,'Kitting Plan'!$C$5:$C$18,0)),""))</f>
        <v/>
      </c>
      <c r="E276" s="45"/>
      <c r="F276" s="54" t="str">
        <f aca="false">IF(B276="","",IFERROR(IF(OR(E276="",E276="All"),INDEX('Kitting Plan'!$E$5:$E$18,MATCH(B276,'Kitting Plan'!$C$5:$C$18,0)),INDEX('Kitting Plan'!$H$5:$H$18,MATCH(B276,'Kitting Plan'!$C$5:$C$18,0))),""))</f>
        <v/>
      </c>
      <c r="G276" s="45"/>
      <c r="H276" s="55" t="str">
        <f aca="false">IF(B276="","",IF(G276="",F276,G276))</f>
        <v/>
      </c>
      <c r="I276" s="45"/>
      <c r="J276" s="56"/>
      <c r="K276" s="46"/>
      <c r="L276" s="53" t="str">
        <f aca="false">IF(A276="","",IF(B276="","Missing code",IF(C276="Unknown code","Unknown code",IF(COUNTIF($A$6:$A$505,A276)&gt;1,"Duplicate WO",""))))</f>
        <v/>
      </c>
    </row>
    <row r="277" customFormat="false" ht="15" hidden="false" customHeight="false" outlineLevel="0" collapsed="false">
      <c r="A277" s="46"/>
      <c r="B277" s="46"/>
      <c r="C277" s="53" t="str">
        <f aca="false">IF(B277="","",IFERROR(INDEX('Kitting Plan'!$D$5:$D$18,MATCH(B277,'Kitting Plan'!$C$5:$C$18,0)),"Unknown code"))</f>
        <v/>
      </c>
      <c r="D277" s="53" t="str">
        <f aca="false">IF(B277="","",IFERROR(INDEX('Kitting Plan'!$B$5:$B$18,MATCH(B277,'Kitting Plan'!$C$5:$C$18,0)),""))</f>
        <v/>
      </c>
      <c r="E277" s="45"/>
      <c r="F277" s="54" t="str">
        <f aca="false">IF(B277="","",IFERROR(IF(OR(E277="",E277="All"),INDEX('Kitting Plan'!$E$5:$E$18,MATCH(B277,'Kitting Plan'!$C$5:$C$18,0)),INDEX('Kitting Plan'!$H$5:$H$18,MATCH(B277,'Kitting Plan'!$C$5:$C$18,0))),""))</f>
        <v/>
      </c>
      <c r="G277" s="45"/>
      <c r="H277" s="55" t="str">
        <f aca="false">IF(B277="","",IF(G277="",F277,G277))</f>
        <v/>
      </c>
      <c r="I277" s="45"/>
      <c r="J277" s="56"/>
      <c r="K277" s="46"/>
      <c r="L277" s="53" t="str">
        <f aca="false">IF(A277="","",IF(B277="","Missing code",IF(C277="Unknown code","Unknown code",IF(COUNTIF($A$6:$A$505,A277)&gt;1,"Duplicate WO",""))))</f>
        <v/>
      </c>
    </row>
    <row r="278" customFormat="false" ht="15" hidden="false" customHeight="false" outlineLevel="0" collapsed="false">
      <c r="A278" s="46"/>
      <c r="B278" s="46"/>
      <c r="C278" s="53" t="str">
        <f aca="false">IF(B278="","",IFERROR(INDEX('Kitting Plan'!$D$5:$D$18,MATCH(B278,'Kitting Plan'!$C$5:$C$18,0)),"Unknown code"))</f>
        <v/>
      </c>
      <c r="D278" s="53" t="str">
        <f aca="false">IF(B278="","",IFERROR(INDEX('Kitting Plan'!$B$5:$B$18,MATCH(B278,'Kitting Plan'!$C$5:$C$18,0)),""))</f>
        <v/>
      </c>
      <c r="E278" s="45"/>
      <c r="F278" s="54" t="str">
        <f aca="false">IF(B278="","",IFERROR(IF(OR(E278="",E278="All"),INDEX('Kitting Plan'!$E$5:$E$18,MATCH(B278,'Kitting Plan'!$C$5:$C$18,0)),INDEX('Kitting Plan'!$H$5:$H$18,MATCH(B278,'Kitting Plan'!$C$5:$C$18,0))),""))</f>
        <v/>
      </c>
      <c r="G278" s="45"/>
      <c r="H278" s="55" t="str">
        <f aca="false">IF(B278="","",IF(G278="",F278,G278))</f>
        <v/>
      </c>
      <c r="I278" s="45"/>
      <c r="J278" s="56"/>
      <c r="K278" s="46"/>
      <c r="L278" s="53" t="str">
        <f aca="false">IF(A278="","",IF(B278="","Missing code",IF(C278="Unknown code","Unknown code",IF(COUNTIF($A$6:$A$505,A278)&gt;1,"Duplicate WO",""))))</f>
        <v/>
      </c>
    </row>
    <row r="279" customFormat="false" ht="15" hidden="false" customHeight="false" outlineLevel="0" collapsed="false">
      <c r="A279" s="46"/>
      <c r="B279" s="46"/>
      <c r="C279" s="53" t="str">
        <f aca="false">IF(B279="","",IFERROR(INDEX('Kitting Plan'!$D$5:$D$18,MATCH(B279,'Kitting Plan'!$C$5:$C$18,0)),"Unknown code"))</f>
        <v/>
      </c>
      <c r="D279" s="53" t="str">
        <f aca="false">IF(B279="","",IFERROR(INDEX('Kitting Plan'!$B$5:$B$18,MATCH(B279,'Kitting Plan'!$C$5:$C$18,0)),""))</f>
        <v/>
      </c>
      <c r="E279" s="45"/>
      <c r="F279" s="54" t="str">
        <f aca="false">IF(B279="","",IFERROR(IF(OR(E279="",E279="All"),INDEX('Kitting Plan'!$E$5:$E$18,MATCH(B279,'Kitting Plan'!$C$5:$C$18,0)),INDEX('Kitting Plan'!$H$5:$H$18,MATCH(B279,'Kitting Plan'!$C$5:$C$18,0))),""))</f>
        <v/>
      </c>
      <c r="G279" s="45"/>
      <c r="H279" s="55" t="str">
        <f aca="false">IF(B279="","",IF(G279="",F279,G279))</f>
        <v/>
      </c>
      <c r="I279" s="45"/>
      <c r="J279" s="56"/>
      <c r="K279" s="46"/>
      <c r="L279" s="53" t="str">
        <f aca="false">IF(A279="","",IF(B279="","Missing code",IF(C279="Unknown code","Unknown code",IF(COUNTIF($A$6:$A$505,A279)&gt;1,"Duplicate WO",""))))</f>
        <v/>
      </c>
    </row>
    <row r="280" customFormat="false" ht="15" hidden="false" customHeight="false" outlineLevel="0" collapsed="false">
      <c r="A280" s="46"/>
      <c r="B280" s="46"/>
      <c r="C280" s="53" t="str">
        <f aca="false">IF(B280="","",IFERROR(INDEX('Kitting Plan'!$D$5:$D$18,MATCH(B280,'Kitting Plan'!$C$5:$C$18,0)),"Unknown code"))</f>
        <v/>
      </c>
      <c r="D280" s="53" t="str">
        <f aca="false">IF(B280="","",IFERROR(INDEX('Kitting Plan'!$B$5:$B$18,MATCH(B280,'Kitting Plan'!$C$5:$C$18,0)),""))</f>
        <v/>
      </c>
      <c r="E280" s="45"/>
      <c r="F280" s="54" t="str">
        <f aca="false">IF(B280="","",IFERROR(IF(OR(E280="",E280="All"),INDEX('Kitting Plan'!$E$5:$E$18,MATCH(B280,'Kitting Plan'!$C$5:$C$18,0)),INDEX('Kitting Plan'!$H$5:$H$18,MATCH(B280,'Kitting Plan'!$C$5:$C$18,0))),""))</f>
        <v/>
      </c>
      <c r="G280" s="45"/>
      <c r="H280" s="55" t="str">
        <f aca="false">IF(B280="","",IF(G280="",F280,G280))</f>
        <v/>
      </c>
      <c r="I280" s="45"/>
      <c r="J280" s="56"/>
      <c r="K280" s="46"/>
      <c r="L280" s="53" t="str">
        <f aca="false">IF(A280="","",IF(B280="","Missing code",IF(C280="Unknown code","Unknown code",IF(COUNTIF($A$6:$A$505,A280)&gt;1,"Duplicate WO",""))))</f>
        <v/>
      </c>
    </row>
    <row r="281" customFormat="false" ht="15" hidden="false" customHeight="false" outlineLevel="0" collapsed="false">
      <c r="A281" s="46"/>
      <c r="B281" s="46"/>
      <c r="C281" s="53" t="str">
        <f aca="false">IF(B281="","",IFERROR(INDEX('Kitting Plan'!$D$5:$D$18,MATCH(B281,'Kitting Plan'!$C$5:$C$18,0)),"Unknown code"))</f>
        <v/>
      </c>
      <c r="D281" s="53" t="str">
        <f aca="false">IF(B281="","",IFERROR(INDEX('Kitting Plan'!$B$5:$B$18,MATCH(B281,'Kitting Plan'!$C$5:$C$18,0)),""))</f>
        <v/>
      </c>
      <c r="E281" s="45"/>
      <c r="F281" s="54" t="str">
        <f aca="false">IF(B281="","",IFERROR(IF(OR(E281="",E281="All"),INDEX('Kitting Plan'!$E$5:$E$18,MATCH(B281,'Kitting Plan'!$C$5:$C$18,0)),INDEX('Kitting Plan'!$H$5:$H$18,MATCH(B281,'Kitting Plan'!$C$5:$C$18,0))),""))</f>
        <v/>
      </c>
      <c r="G281" s="45"/>
      <c r="H281" s="55" t="str">
        <f aca="false">IF(B281="","",IF(G281="",F281,G281))</f>
        <v/>
      </c>
      <c r="I281" s="45"/>
      <c r="J281" s="56"/>
      <c r="K281" s="46"/>
      <c r="L281" s="53" t="str">
        <f aca="false">IF(A281="","",IF(B281="","Missing code",IF(C281="Unknown code","Unknown code",IF(COUNTIF($A$6:$A$505,A281)&gt;1,"Duplicate WO",""))))</f>
        <v/>
      </c>
    </row>
    <row r="282" customFormat="false" ht="15" hidden="false" customHeight="false" outlineLevel="0" collapsed="false">
      <c r="A282" s="46"/>
      <c r="B282" s="46"/>
      <c r="C282" s="53" t="str">
        <f aca="false">IF(B282="","",IFERROR(INDEX('Kitting Plan'!$D$5:$D$18,MATCH(B282,'Kitting Plan'!$C$5:$C$18,0)),"Unknown code"))</f>
        <v/>
      </c>
      <c r="D282" s="53" t="str">
        <f aca="false">IF(B282="","",IFERROR(INDEX('Kitting Plan'!$B$5:$B$18,MATCH(B282,'Kitting Plan'!$C$5:$C$18,0)),""))</f>
        <v/>
      </c>
      <c r="E282" s="45"/>
      <c r="F282" s="54" t="str">
        <f aca="false">IF(B282="","",IFERROR(IF(OR(E282="",E282="All"),INDEX('Kitting Plan'!$E$5:$E$18,MATCH(B282,'Kitting Plan'!$C$5:$C$18,0)),INDEX('Kitting Plan'!$H$5:$H$18,MATCH(B282,'Kitting Plan'!$C$5:$C$18,0))),""))</f>
        <v/>
      </c>
      <c r="G282" s="45"/>
      <c r="H282" s="55" t="str">
        <f aca="false">IF(B282="","",IF(G282="",F282,G282))</f>
        <v/>
      </c>
      <c r="I282" s="45"/>
      <c r="J282" s="56"/>
      <c r="K282" s="46"/>
      <c r="L282" s="53" t="str">
        <f aca="false">IF(A282="","",IF(B282="","Missing code",IF(C282="Unknown code","Unknown code",IF(COUNTIF($A$6:$A$505,A282)&gt;1,"Duplicate WO",""))))</f>
        <v/>
      </c>
    </row>
    <row r="283" customFormat="false" ht="15" hidden="false" customHeight="false" outlineLevel="0" collapsed="false">
      <c r="A283" s="46"/>
      <c r="B283" s="46"/>
      <c r="C283" s="53" t="str">
        <f aca="false">IF(B283="","",IFERROR(INDEX('Kitting Plan'!$D$5:$D$18,MATCH(B283,'Kitting Plan'!$C$5:$C$18,0)),"Unknown code"))</f>
        <v/>
      </c>
      <c r="D283" s="53" t="str">
        <f aca="false">IF(B283="","",IFERROR(INDEX('Kitting Plan'!$B$5:$B$18,MATCH(B283,'Kitting Plan'!$C$5:$C$18,0)),""))</f>
        <v/>
      </c>
      <c r="E283" s="45"/>
      <c r="F283" s="54" t="str">
        <f aca="false">IF(B283="","",IFERROR(IF(OR(E283="",E283="All"),INDEX('Kitting Plan'!$E$5:$E$18,MATCH(B283,'Kitting Plan'!$C$5:$C$18,0)),INDEX('Kitting Plan'!$H$5:$H$18,MATCH(B283,'Kitting Plan'!$C$5:$C$18,0))),""))</f>
        <v/>
      </c>
      <c r="G283" s="45"/>
      <c r="H283" s="55" t="str">
        <f aca="false">IF(B283="","",IF(G283="",F283,G283))</f>
        <v/>
      </c>
      <c r="I283" s="45"/>
      <c r="J283" s="56"/>
      <c r="K283" s="46"/>
      <c r="L283" s="53" t="str">
        <f aca="false">IF(A283="","",IF(B283="","Missing code",IF(C283="Unknown code","Unknown code",IF(COUNTIF($A$6:$A$505,A283)&gt;1,"Duplicate WO",""))))</f>
        <v/>
      </c>
    </row>
    <row r="284" customFormat="false" ht="15" hidden="false" customHeight="false" outlineLevel="0" collapsed="false">
      <c r="A284" s="46"/>
      <c r="B284" s="46"/>
      <c r="C284" s="53" t="str">
        <f aca="false">IF(B284="","",IFERROR(INDEX('Kitting Plan'!$D$5:$D$18,MATCH(B284,'Kitting Plan'!$C$5:$C$18,0)),"Unknown code"))</f>
        <v/>
      </c>
      <c r="D284" s="53" t="str">
        <f aca="false">IF(B284="","",IFERROR(INDEX('Kitting Plan'!$B$5:$B$18,MATCH(B284,'Kitting Plan'!$C$5:$C$18,0)),""))</f>
        <v/>
      </c>
      <c r="E284" s="45"/>
      <c r="F284" s="54" t="str">
        <f aca="false">IF(B284="","",IFERROR(IF(OR(E284="",E284="All"),INDEX('Kitting Plan'!$E$5:$E$18,MATCH(B284,'Kitting Plan'!$C$5:$C$18,0)),INDEX('Kitting Plan'!$H$5:$H$18,MATCH(B284,'Kitting Plan'!$C$5:$C$18,0))),""))</f>
        <v/>
      </c>
      <c r="G284" s="45"/>
      <c r="H284" s="55" t="str">
        <f aca="false">IF(B284="","",IF(G284="",F284,G284))</f>
        <v/>
      </c>
      <c r="I284" s="45"/>
      <c r="J284" s="56"/>
      <c r="K284" s="46"/>
      <c r="L284" s="53" t="str">
        <f aca="false">IF(A284="","",IF(B284="","Missing code",IF(C284="Unknown code","Unknown code",IF(COUNTIF($A$6:$A$505,A284)&gt;1,"Duplicate WO",""))))</f>
        <v/>
      </c>
    </row>
    <row r="285" customFormat="false" ht="15" hidden="false" customHeight="false" outlineLevel="0" collapsed="false">
      <c r="A285" s="46"/>
      <c r="B285" s="46"/>
      <c r="C285" s="53" t="str">
        <f aca="false">IF(B285="","",IFERROR(INDEX('Kitting Plan'!$D$5:$D$18,MATCH(B285,'Kitting Plan'!$C$5:$C$18,0)),"Unknown code"))</f>
        <v/>
      </c>
      <c r="D285" s="53" t="str">
        <f aca="false">IF(B285="","",IFERROR(INDEX('Kitting Plan'!$B$5:$B$18,MATCH(B285,'Kitting Plan'!$C$5:$C$18,0)),""))</f>
        <v/>
      </c>
      <c r="E285" s="45"/>
      <c r="F285" s="54" t="str">
        <f aca="false">IF(B285="","",IFERROR(IF(OR(E285="",E285="All"),INDEX('Kitting Plan'!$E$5:$E$18,MATCH(B285,'Kitting Plan'!$C$5:$C$18,0)),INDEX('Kitting Plan'!$H$5:$H$18,MATCH(B285,'Kitting Plan'!$C$5:$C$18,0))),""))</f>
        <v/>
      </c>
      <c r="G285" s="45"/>
      <c r="H285" s="55" t="str">
        <f aca="false">IF(B285="","",IF(G285="",F285,G285))</f>
        <v/>
      </c>
      <c r="I285" s="45"/>
      <c r="J285" s="56"/>
      <c r="K285" s="46"/>
      <c r="L285" s="53" t="str">
        <f aca="false">IF(A285="","",IF(B285="","Missing code",IF(C285="Unknown code","Unknown code",IF(COUNTIF($A$6:$A$505,A285)&gt;1,"Duplicate WO",""))))</f>
        <v/>
      </c>
    </row>
    <row r="286" customFormat="false" ht="15" hidden="false" customHeight="false" outlineLevel="0" collapsed="false">
      <c r="A286" s="46"/>
      <c r="B286" s="46"/>
      <c r="C286" s="53" t="str">
        <f aca="false">IF(B286="","",IFERROR(INDEX('Kitting Plan'!$D$5:$D$18,MATCH(B286,'Kitting Plan'!$C$5:$C$18,0)),"Unknown code"))</f>
        <v/>
      </c>
      <c r="D286" s="53" t="str">
        <f aca="false">IF(B286="","",IFERROR(INDEX('Kitting Plan'!$B$5:$B$18,MATCH(B286,'Kitting Plan'!$C$5:$C$18,0)),""))</f>
        <v/>
      </c>
      <c r="E286" s="45"/>
      <c r="F286" s="54" t="str">
        <f aca="false">IF(B286="","",IFERROR(IF(OR(E286="",E286="All"),INDEX('Kitting Plan'!$E$5:$E$18,MATCH(B286,'Kitting Plan'!$C$5:$C$18,0)),INDEX('Kitting Plan'!$H$5:$H$18,MATCH(B286,'Kitting Plan'!$C$5:$C$18,0))),""))</f>
        <v/>
      </c>
      <c r="G286" s="45"/>
      <c r="H286" s="55" t="str">
        <f aca="false">IF(B286="","",IF(G286="",F286,G286))</f>
        <v/>
      </c>
      <c r="I286" s="45"/>
      <c r="J286" s="56"/>
      <c r="K286" s="46"/>
      <c r="L286" s="53" t="str">
        <f aca="false">IF(A286="","",IF(B286="","Missing code",IF(C286="Unknown code","Unknown code",IF(COUNTIF($A$6:$A$505,A286)&gt;1,"Duplicate WO",""))))</f>
        <v/>
      </c>
    </row>
    <row r="287" customFormat="false" ht="15" hidden="false" customHeight="false" outlineLevel="0" collapsed="false">
      <c r="A287" s="46"/>
      <c r="B287" s="46"/>
      <c r="C287" s="53" t="str">
        <f aca="false">IF(B287="","",IFERROR(INDEX('Kitting Plan'!$D$5:$D$18,MATCH(B287,'Kitting Plan'!$C$5:$C$18,0)),"Unknown code"))</f>
        <v/>
      </c>
      <c r="D287" s="53" t="str">
        <f aca="false">IF(B287="","",IFERROR(INDEX('Kitting Plan'!$B$5:$B$18,MATCH(B287,'Kitting Plan'!$C$5:$C$18,0)),""))</f>
        <v/>
      </c>
      <c r="E287" s="45"/>
      <c r="F287" s="54" t="str">
        <f aca="false">IF(B287="","",IFERROR(IF(OR(E287="",E287="All"),INDEX('Kitting Plan'!$E$5:$E$18,MATCH(B287,'Kitting Plan'!$C$5:$C$18,0)),INDEX('Kitting Plan'!$H$5:$H$18,MATCH(B287,'Kitting Plan'!$C$5:$C$18,0))),""))</f>
        <v/>
      </c>
      <c r="G287" s="45"/>
      <c r="H287" s="55" t="str">
        <f aca="false">IF(B287="","",IF(G287="",F287,G287))</f>
        <v/>
      </c>
      <c r="I287" s="45"/>
      <c r="J287" s="56"/>
      <c r="K287" s="46"/>
      <c r="L287" s="53" t="str">
        <f aca="false">IF(A287="","",IF(B287="","Missing code",IF(C287="Unknown code","Unknown code",IF(COUNTIF($A$6:$A$505,A287)&gt;1,"Duplicate WO",""))))</f>
        <v/>
      </c>
    </row>
    <row r="288" customFormat="false" ht="15" hidden="false" customHeight="false" outlineLevel="0" collapsed="false">
      <c r="A288" s="46"/>
      <c r="B288" s="46"/>
      <c r="C288" s="53" t="str">
        <f aca="false">IF(B288="","",IFERROR(INDEX('Kitting Plan'!$D$5:$D$18,MATCH(B288,'Kitting Plan'!$C$5:$C$18,0)),"Unknown code"))</f>
        <v/>
      </c>
      <c r="D288" s="53" t="str">
        <f aca="false">IF(B288="","",IFERROR(INDEX('Kitting Plan'!$B$5:$B$18,MATCH(B288,'Kitting Plan'!$C$5:$C$18,0)),""))</f>
        <v/>
      </c>
      <c r="E288" s="45"/>
      <c r="F288" s="54" t="str">
        <f aca="false">IF(B288="","",IFERROR(IF(OR(E288="",E288="All"),INDEX('Kitting Plan'!$E$5:$E$18,MATCH(B288,'Kitting Plan'!$C$5:$C$18,0)),INDEX('Kitting Plan'!$H$5:$H$18,MATCH(B288,'Kitting Plan'!$C$5:$C$18,0))),""))</f>
        <v/>
      </c>
      <c r="G288" s="45"/>
      <c r="H288" s="55" t="str">
        <f aca="false">IF(B288="","",IF(G288="",F288,G288))</f>
        <v/>
      </c>
      <c r="I288" s="45"/>
      <c r="J288" s="56"/>
      <c r="K288" s="46"/>
      <c r="L288" s="53" t="str">
        <f aca="false">IF(A288="","",IF(B288="","Missing code",IF(C288="Unknown code","Unknown code",IF(COUNTIF($A$6:$A$505,A288)&gt;1,"Duplicate WO",""))))</f>
        <v/>
      </c>
    </row>
    <row r="289" customFormat="false" ht="15" hidden="false" customHeight="false" outlineLevel="0" collapsed="false">
      <c r="A289" s="46"/>
      <c r="B289" s="46"/>
      <c r="C289" s="53" t="str">
        <f aca="false">IF(B289="","",IFERROR(INDEX('Kitting Plan'!$D$5:$D$18,MATCH(B289,'Kitting Plan'!$C$5:$C$18,0)),"Unknown code"))</f>
        <v/>
      </c>
      <c r="D289" s="53" t="str">
        <f aca="false">IF(B289="","",IFERROR(INDEX('Kitting Plan'!$B$5:$B$18,MATCH(B289,'Kitting Plan'!$C$5:$C$18,0)),""))</f>
        <v/>
      </c>
      <c r="E289" s="45"/>
      <c r="F289" s="54" t="str">
        <f aca="false">IF(B289="","",IFERROR(IF(OR(E289="",E289="All"),INDEX('Kitting Plan'!$E$5:$E$18,MATCH(B289,'Kitting Plan'!$C$5:$C$18,0)),INDEX('Kitting Plan'!$H$5:$H$18,MATCH(B289,'Kitting Plan'!$C$5:$C$18,0))),""))</f>
        <v/>
      </c>
      <c r="G289" s="45"/>
      <c r="H289" s="55" t="str">
        <f aca="false">IF(B289="","",IF(G289="",F289,G289))</f>
        <v/>
      </c>
      <c r="I289" s="45"/>
      <c r="J289" s="56"/>
      <c r="K289" s="46"/>
      <c r="L289" s="53" t="str">
        <f aca="false">IF(A289="","",IF(B289="","Missing code",IF(C289="Unknown code","Unknown code",IF(COUNTIF($A$6:$A$505,A289)&gt;1,"Duplicate WO",""))))</f>
        <v/>
      </c>
    </row>
    <row r="290" customFormat="false" ht="15" hidden="false" customHeight="false" outlineLevel="0" collapsed="false">
      <c r="A290" s="46"/>
      <c r="B290" s="46"/>
      <c r="C290" s="53" t="str">
        <f aca="false">IF(B290="","",IFERROR(INDEX('Kitting Plan'!$D$5:$D$18,MATCH(B290,'Kitting Plan'!$C$5:$C$18,0)),"Unknown code"))</f>
        <v/>
      </c>
      <c r="D290" s="53" t="str">
        <f aca="false">IF(B290="","",IFERROR(INDEX('Kitting Plan'!$B$5:$B$18,MATCH(B290,'Kitting Plan'!$C$5:$C$18,0)),""))</f>
        <v/>
      </c>
      <c r="E290" s="45"/>
      <c r="F290" s="54" t="str">
        <f aca="false">IF(B290="","",IFERROR(IF(OR(E290="",E290="All"),INDEX('Kitting Plan'!$E$5:$E$18,MATCH(B290,'Kitting Plan'!$C$5:$C$18,0)),INDEX('Kitting Plan'!$H$5:$H$18,MATCH(B290,'Kitting Plan'!$C$5:$C$18,0))),""))</f>
        <v/>
      </c>
      <c r="G290" s="45"/>
      <c r="H290" s="55" t="str">
        <f aca="false">IF(B290="","",IF(G290="",F290,G290))</f>
        <v/>
      </c>
      <c r="I290" s="45"/>
      <c r="J290" s="56"/>
      <c r="K290" s="46"/>
      <c r="L290" s="53" t="str">
        <f aca="false">IF(A290="","",IF(B290="","Missing code",IF(C290="Unknown code","Unknown code",IF(COUNTIF($A$6:$A$505,A290)&gt;1,"Duplicate WO",""))))</f>
        <v/>
      </c>
    </row>
    <row r="291" customFormat="false" ht="15" hidden="false" customHeight="false" outlineLevel="0" collapsed="false">
      <c r="A291" s="46"/>
      <c r="B291" s="46"/>
      <c r="C291" s="53" t="str">
        <f aca="false">IF(B291="","",IFERROR(INDEX('Kitting Plan'!$D$5:$D$18,MATCH(B291,'Kitting Plan'!$C$5:$C$18,0)),"Unknown code"))</f>
        <v/>
      </c>
      <c r="D291" s="53" t="str">
        <f aca="false">IF(B291="","",IFERROR(INDEX('Kitting Plan'!$B$5:$B$18,MATCH(B291,'Kitting Plan'!$C$5:$C$18,0)),""))</f>
        <v/>
      </c>
      <c r="E291" s="45"/>
      <c r="F291" s="54" t="str">
        <f aca="false">IF(B291="","",IFERROR(IF(OR(E291="",E291="All"),INDEX('Kitting Plan'!$E$5:$E$18,MATCH(B291,'Kitting Plan'!$C$5:$C$18,0)),INDEX('Kitting Plan'!$H$5:$H$18,MATCH(B291,'Kitting Plan'!$C$5:$C$18,0))),""))</f>
        <v/>
      </c>
      <c r="G291" s="45"/>
      <c r="H291" s="55" t="str">
        <f aca="false">IF(B291="","",IF(G291="",F291,G291))</f>
        <v/>
      </c>
      <c r="I291" s="45"/>
      <c r="J291" s="56"/>
      <c r="K291" s="46"/>
      <c r="L291" s="53" t="str">
        <f aca="false">IF(A291="","",IF(B291="","Missing code",IF(C291="Unknown code","Unknown code",IF(COUNTIF($A$6:$A$505,A291)&gt;1,"Duplicate WO",""))))</f>
        <v/>
      </c>
    </row>
    <row r="292" customFormat="false" ht="15" hidden="false" customHeight="false" outlineLevel="0" collapsed="false">
      <c r="A292" s="46"/>
      <c r="B292" s="46"/>
      <c r="C292" s="53" t="str">
        <f aca="false">IF(B292="","",IFERROR(INDEX('Kitting Plan'!$D$5:$D$18,MATCH(B292,'Kitting Plan'!$C$5:$C$18,0)),"Unknown code"))</f>
        <v/>
      </c>
      <c r="D292" s="53" t="str">
        <f aca="false">IF(B292="","",IFERROR(INDEX('Kitting Plan'!$B$5:$B$18,MATCH(B292,'Kitting Plan'!$C$5:$C$18,0)),""))</f>
        <v/>
      </c>
      <c r="E292" s="45"/>
      <c r="F292" s="54" t="str">
        <f aca="false">IF(B292="","",IFERROR(IF(OR(E292="",E292="All"),INDEX('Kitting Plan'!$E$5:$E$18,MATCH(B292,'Kitting Plan'!$C$5:$C$18,0)),INDEX('Kitting Plan'!$H$5:$H$18,MATCH(B292,'Kitting Plan'!$C$5:$C$18,0))),""))</f>
        <v/>
      </c>
      <c r="G292" s="45"/>
      <c r="H292" s="55" t="str">
        <f aca="false">IF(B292="","",IF(G292="",F292,G292))</f>
        <v/>
      </c>
      <c r="I292" s="45"/>
      <c r="J292" s="56"/>
      <c r="K292" s="46"/>
      <c r="L292" s="53" t="str">
        <f aca="false">IF(A292="","",IF(B292="","Missing code",IF(C292="Unknown code","Unknown code",IF(COUNTIF($A$6:$A$505,A292)&gt;1,"Duplicate WO",""))))</f>
        <v/>
      </c>
    </row>
    <row r="293" customFormat="false" ht="15" hidden="false" customHeight="false" outlineLevel="0" collapsed="false">
      <c r="A293" s="46"/>
      <c r="B293" s="46"/>
      <c r="C293" s="53" t="str">
        <f aca="false">IF(B293="","",IFERROR(INDEX('Kitting Plan'!$D$5:$D$18,MATCH(B293,'Kitting Plan'!$C$5:$C$18,0)),"Unknown code"))</f>
        <v/>
      </c>
      <c r="D293" s="53" t="str">
        <f aca="false">IF(B293="","",IFERROR(INDEX('Kitting Plan'!$B$5:$B$18,MATCH(B293,'Kitting Plan'!$C$5:$C$18,0)),""))</f>
        <v/>
      </c>
      <c r="E293" s="45"/>
      <c r="F293" s="54" t="str">
        <f aca="false">IF(B293="","",IFERROR(IF(OR(E293="",E293="All"),INDEX('Kitting Plan'!$E$5:$E$18,MATCH(B293,'Kitting Plan'!$C$5:$C$18,0)),INDEX('Kitting Plan'!$H$5:$H$18,MATCH(B293,'Kitting Plan'!$C$5:$C$18,0))),""))</f>
        <v/>
      </c>
      <c r="G293" s="45"/>
      <c r="H293" s="55" t="str">
        <f aca="false">IF(B293="","",IF(G293="",F293,G293))</f>
        <v/>
      </c>
      <c r="I293" s="45"/>
      <c r="J293" s="56"/>
      <c r="K293" s="46"/>
      <c r="L293" s="53" t="str">
        <f aca="false">IF(A293="","",IF(B293="","Missing code",IF(C293="Unknown code","Unknown code",IF(COUNTIF($A$6:$A$505,A293)&gt;1,"Duplicate WO",""))))</f>
        <v/>
      </c>
    </row>
    <row r="294" customFormat="false" ht="15" hidden="false" customHeight="false" outlineLevel="0" collapsed="false">
      <c r="A294" s="46"/>
      <c r="B294" s="46"/>
      <c r="C294" s="53" t="str">
        <f aca="false">IF(B294="","",IFERROR(INDEX('Kitting Plan'!$D$5:$D$18,MATCH(B294,'Kitting Plan'!$C$5:$C$18,0)),"Unknown code"))</f>
        <v/>
      </c>
      <c r="D294" s="53" t="str">
        <f aca="false">IF(B294="","",IFERROR(INDEX('Kitting Plan'!$B$5:$B$18,MATCH(B294,'Kitting Plan'!$C$5:$C$18,0)),""))</f>
        <v/>
      </c>
      <c r="E294" s="45"/>
      <c r="F294" s="54" t="str">
        <f aca="false">IF(B294="","",IFERROR(IF(OR(E294="",E294="All"),INDEX('Kitting Plan'!$E$5:$E$18,MATCH(B294,'Kitting Plan'!$C$5:$C$18,0)),INDEX('Kitting Plan'!$H$5:$H$18,MATCH(B294,'Kitting Plan'!$C$5:$C$18,0))),""))</f>
        <v/>
      </c>
      <c r="G294" s="45"/>
      <c r="H294" s="55" t="str">
        <f aca="false">IF(B294="","",IF(G294="",F294,G294))</f>
        <v/>
      </c>
      <c r="I294" s="45"/>
      <c r="J294" s="56"/>
      <c r="K294" s="46"/>
      <c r="L294" s="53" t="str">
        <f aca="false">IF(A294="","",IF(B294="","Missing code",IF(C294="Unknown code","Unknown code",IF(COUNTIF($A$6:$A$505,A294)&gt;1,"Duplicate WO",""))))</f>
        <v/>
      </c>
    </row>
    <row r="295" customFormat="false" ht="15" hidden="false" customHeight="false" outlineLevel="0" collapsed="false">
      <c r="A295" s="46"/>
      <c r="B295" s="46"/>
      <c r="C295" s="53" t="str">
        <f aca="false">IF(B295="","",IFERROR(INDEX('Kitting Plan'!$D$5:$D$18,MATCH(B295,'Kitting Plan'!$C$5:$C$18,0)),"Unknown code"))</f>
        <v/>
      </c>
      <c r="D295" s="53" t="str">
        <f aca="false">IF(B295="","",IFERROR(INDEX('Kitting Plan'!$B$5:$B$18,MATCH(B295,'Kitting Plan'!$C$5:$C$18,0)),""))</f>
        <v/>
      </c>
      <c r="E295" s="45"/>
      <c r="F295" s="54" t="str">
        <f aca="false">IF(B295="","",IFERROR(IF(OR(E295="",E295="All"),INDEX('Kitting Plan'!$E$5:$E$18,MATCH(B295,'Kitting Plan'!$C$5:$C$18,0)),INDEX('Kitting Plan'!$H$5:$H$18,MATCH(B295,'Kitting Plan'!$C$5:$C$18,0))),""))</f>
        <v/>
      </c>
      <c r="G295" s="45"/>
      <c r="H295" s="55" t="str">
        <f aca="false">IF(B295="","",IF(G295="",F295,G295))</f>
        <v/>
      </c>
      <c r="I295" s="45"/>
      <c r="J295" s="56"/>
      <c r="K295" s="46"/>
      <c r="L295" s="53" t="str">
        <f aca="false">IF(A295="","",IF(B295="","Missing code",IF(C295="Unknown code","Unknown code",IF(COUNTIF($A$6:$A$505,A295)&gt;1,"Duplicate WO",""))))</f>
        <v/>
      </c>
    </row>
    <row r="296" customFormat="false" ht="15" hidden="false" customHeight="false" outlineLevel="0" collapsed="false">
      <c r="A296" s="46"/>
      <c r="B296" s="46"/>
      <c r="C296" s="53" t="str">
        <f aca="false">IF(B296="","",IFERROR(INDEX('Kitting Plan'!$D$5:$D$18,MATCH(B296,'Kitting Plan'!$C$5:$C$18,0)),"Unknown code"))</f>
        <v/>
      </c>
      <c r="D296" s="53" t="str">
        <f aca="false">IF(B296="","",IFERROR(INDEX('Kitting Plan'!$B$5:$B$18,MATCH(B296,'Kitting Plan'!$C$5:$C$18,0)),""))</f>
        <v/>
      </c>
      <c r="E296" s="45"/>
      <c r="F296" s="54" t="str">
        <f aca="false">IF(B296="","",IFERROR(IF(OR(E296="",E296="All"),INDEX('Kitting Plan'!$E$5:$E$18,MATCH(B296,'Kitting Plan'!$C$5:$C$18,0)),INDEX('Kitting Plan'!$H$5:$H$18,MATCH(B296,'Kitting Plan'!$C$5:$C$18,0))),""))</f>
        <v/>
      </c>
      <c r="G296" s="45"/>
      <c r="H296" s="55" t="str">
        <f aca="false">IF(B296="","",IF(G296="",F296,G296))</f>
        <v/>
      </c>
      <c r="I296" s="45"/>
      <c r="J296" s="56"/>
      <c r="K296" s="46"/>
      <c r="L296" s="53" t="str">
        <f aca="false">IF(A296="","",IF(B296="","Missing code",IF(C296="Unknown code","Unknown code",IF(COUNTIF($A$6:$A$505,A296)&gt;1,"Duplicate WO",""))))</f>
        <v/>
      </c>
    </row>
    <row r="297" customFormat="false" ht="15" hidden="false" customHeight="false" outlineLevel="0" collapsed="false">
      <c r="A297" s="46"/>
      <c r="B297" s="46"/>
      <c r="C297" s="53" t="str">
        <f aca="false">IF(B297="","",IFERROR(INDEX('Kitting Plan'!$D$5:$D$18,MATCH(B297,'Kitting Plan'!$C$5:$C$18,0)),"Unknown code"))</f>
        <v/>
      </c>
      <c r="D297" s="53" t="str">
        <f aca="false">IF(B297="","",IFERROR(INDEX('Kitting Plan'!$B$5:$B$18,MATCH(B297,'Kitting Plan'!$C$5:$C$18,0)),""))</f>
        <v/>
      </c>
      <c r="E297" s="45"/>
      <c r="F297" s="54" t="str">
        <f aca="false">IF(B297="","",IFERROR(IF(OR(E297="",E297="All"),INDEX('Kitting Plan'!$E$5:$E$18,MATCH(B297,'Kitting Plan'!$C$5:$C$18,0)),INDEX('Kitting Plan'!$H$5:$H$18,MATCH(B297,'Kitting Plan'!$C$5:$C$18,0))),""))</f>
        <v/>
      </c>
      <c r="G297" s="45"/>
      <c r="H297" s="55" t="str">
        <f aca="false">IF(B297="","",IF(G297="",F297,G297))</f>
        <v/>
      </c>
      <c r="I297" s="45"/>
      <c r="J297" s="56"/>
      <c r="K297" s="46"/>
      <c r="L297" s="53" t="str">
        <f aca="false">IF(A297="","",IF(B297="","Missing code",IF(C297="Unknown code","Unknown code",IF(COUNTIF($A$6:$A$505,A297)&gt;1,"Duplicate WO",""))))</f>
        <v/>
      </c>
    </row>
    <row r="298" customFormat="false" ht="15" hidden="false" customHeight="false" outlineLevel="0" collapsed="false">
      <c r="A298" s="46"/>
      <c r="B298" s="46"/>
      <c r="C298" s="53" t="str">
        <f aca="false">IF(B298="","",IFERROR(INDEX('Kitting Plan'!$D$5:$D$18,MATCH(B298,'Kitting Plan'!$C$5:$C$18,0)),"Unknown code"))</f>
        <v/>
      </c>
      <c r="D298" s="53" t="str">
        <f aca="false">IF(B298="","",IFERROR(INDEX('Kitting Plan'!$B$5:$B$18,MATCH(B298,'Kitting Plan'!$C$5:$C$18,0)),""))</f>
        <v/>
      </c>
      <c r="E298" s="45"/>
      <c r="F298" s="54" t="str">
        <f aca="false">IF(B298="","",IFERROR(IF(OR(E298="",E298="All"),INDEX('Kitting Plan'!$E$5:$E$18,MATCH(B298,'Kitting Plan'!$C$5:$C$18,0)),INDEX('Kitting Plan'!$H$5:$H$18,MATCH(B298,'Kitting Plan'!$C$5:$C$18,0))),""))</f>
        <v/>
      </c>
      <c r="G298" s="45"/>
      <c r="H298" s="55" t="str">
        <f aca="false">IF(B298="","",IF(G298="",F298,G298))</f>
        <v/>
      </c>
      <c r="I298" s="45"/>
      <c r="J298" s="56"/>
      <c r="K298" s="46"/>
      <c r="L298" s="53" t="str">
        <f aca="false">IF(A298="","",IF(B298="","Missing code",IF(C298="Unknown code","Unknown code",IF(COUNTIF($A$6:$A$505,A298)&gt;1,"Duplicate WO",""))))</f>
        <v/>
      </c>
    </row>
    <row r="299" customFormat="false" ht="15" hidden="false" customHeight="false" outlineLevel="0" collapsed="false">
      <c r="A299" s="46"/>
      <c r="B299" s="46"/>
      <c r="C299" s="53" t="str">
        <f aca="false">IF(B299="","",IFERROR(INDEX('Kitting Plan'!$D$5:$D$18,MATCH(B299,'Kitting Plan'!$C$5:$C$18,0)),"Unknown code"))</f>
        <v/>
      </c>
      <c r="D299" s="53" t="str">
        <f aca="false">IF(B299="","",IFERROR(INDEX('Kitting Plan'!$B$5:$B$18,MATCH(B299,'Kitting Plan'!$C$5:$C$18,0)),""))</f>
        <v/>
      </c>
      <c r="E299" s="45"/>
      <c r="F299" s="54" t="str">
        <f aca="false">IF(B299="","",IFERROR(IF(OR(E299="",E299="All"),INDEX('Kitting Plan'!$E$5:$E$18,MATCH(B299,'Kitting Plan'!$C$5:$C$18,0)),INDEX('Kitting Plan'!$H$5:$H$18,MATCH(B299,'Kitting Plan'!$C$5:$C$18,0))),""))</f>
        <v/>
      </c>
      <c r="G299" s="45"/>
      <c r="H299" s="55" t="str">
        <f aca="false">IF(B299="","",IF(G299="",F299,G299))</f>
        <v/>
      </c>
      <c r="I299" s="45"/>
      <c r="J299" s="56"/>
      <c r="K299" s="46"/>
      <c r="L299" s="53" t="str">
        <f aca="false">IF(A299="","",IF(B299="","Missing code",IF(C299="Unknown code","Unknown code",IF(COUNTIF($A$6:$A$505,A299)&gt;1,"Duplicate WO",""))))</f>
        <v/>
      </c>
    </row>
    <row r="300" customFormat="false" ht="15" hidden="false" customHeight="false" outlineLevel="0" collapsed="false">
      <c r="A300" s="46"/>
      <c r="B300" s="46"/>
      <c r="C300" s="53" t="str">
        <f aca="false">IF(B300="","",IFERROR(INDEX('Kitting Plan'!$D$5:$D$18,MATCH(B300,'Kitting Plan'!$C$5:$C$18,0)),"Unknown code"))</f>
        <v/>
      </c>
      <c r="D300" s="53" t="str">
        <f aca="false">IF(B300="","",IFERROR(INDEX('Kitting Plan'!$B$5:$B$18,MATCH(B300,'Kitting Plan'!$C$5:$C$18,0)),""))</f>
        <v/>
      </c>
      <c r="E300" s="45"/>
      <c r="F300" s="54" t="str">
        <f aca="false">IF(B300="","",IFERROR(IF(OR(E300="",E300="All"),INDEX('Kitting Plan'!$E$5:$E$18,MATCH(B300,'Kitting Plan'!$C$5:$C$18,0)),INDEX('Kitting Plan'!$H$5:$H$18,MATCH(B300,'Kitting Plan'!$C$5:$C$18,0))),""))</f>
        <v/>
      </c>
      <c r="G300" s="45"/>
      <c r="H300" s="55" t="str">
        <f aca="false">IF(B300="","",IF(G300="",F300,G300))</f>
        <v/>
      </c>
      <c r="I300" s="45"/>
      <c r="J300" s="56"/>
      <c r="K300" s="46"/>
      <c r="L300" s="53" t="str">
        <f aca="false">IF(A300="","",IF(B300="","Missing code",IF(C300="Unknown code","Unknown code",IF(COUNTIF($A$6:$A$505,A300)&gt;1,"Duplicate WO",""))))</f>
        <v/>
      </c>
    </row>
    <row r="301" customFormat="false" ht="15" hidden="false" customHeight="false" outlineLevel="0" collapsed="false">
      <c r="A301" s="46"/>
      <c r="B301" s="46"/>
      <c r="C301" s="53" t="str">
        <f aca="false">IF(B301="","",IFERROR(INDEX('Kitting Plan'!$D$5:$D$18,MATCH(B301,'Kitting Plan'!$C$5:$C$18,0)),"Unknown code"))</f>
        <v/>
      </c>
      <c r="D301" s="53" t="str">
        <f aca="false">IF(B301="","",IFERROR(INDEX('Kitting Plan'!$B$5:$B$18,MATCH(B301,'Kitting Plan'!$C$5:$C$18,0)),""))</f>
        <v/>
      </c>
      <c r="E301" s="45"/>
      <c r="F301" s="54" t="str">
        <f aca="false">IF(B301="","",IFERROR(IF(OR(E301="",E301="All"),INDEX('Kitting Plan'!$E$5:$E$18,MATCH(B301,'Kitting Plan'!$C$5:$C$18,0)),INDEX('Kitting Plan'!$H$5:$H$18,MATCH(B301,'Kitting Plan'!$C$5:$C$18,0))),""))</f>
        <v/>
      </c>
      <c r="G301" s="45"/>
      <c r="H301" s="55" t="str">
        <f aca="false">IF(B301="","",IF(G301="",F301,G301))</f>
        <v/>
      </c>
      <c r="I301" s="45"/>
      <c r="J301" s="56"/>
      <c r="K301" s="46"/>
      <c r="L301" s="53" t="str">
        <f aca="false">IF(A301="","",IF(B301="","Missing code",IF(C301="Unknown code","Unknown code",IF(COUNTIF($A$6:$A$505,A301)&gt;1,"Duplicate WO",""))))</f>
        <v/>
      </c>
    </row>
    <row r="302" customFormat="false" ht="15" hidden="false" customHeight="false" outlineLevel="0" collapsed="false">
      <c r="A302" s="46"/>
      <c r="B302" s="46"/>
      <c r="C302" s="53" t="str">
        <f aca="false">IF(B302="","",IFERROR(INDEX('Kitting Plan'!$D$5:$D$18,MATCH(B302,'Kitting Plan'!$C$5:$C$18,0)),"Unknown code"))</f>
        <v/>
      </c>
      <c r="D302" s="53" t="str">
        <f aca="false">IF(B302="","",IFERROR(INDEX('Kitting Plan'!$B$5:$B$18,MATCH(B302,'Kitting Plan'!$C$5:$C$18,0)),""))</f>
        <v/>
      </c>
      <c r="E302" s="45"/>
      <c r="F302" s="54" t="str">
        <f aca="false">IF(B302="","",IFERROR(IF(OR(E302="",E302="All"),INDEX('Kitting Plan'!$E$5:$E$18,MATCH(B302,'Kitting Plan'!$C$5:$C$18,0)),INDEX('Kitting Plan'!$H$5:$H$18,MATCH(B302,'Kitting Plan'!$C$5:$C$18,0))),""))</f>
        <v/>
      </c>
      <c r="G302" s="45"/>
      <c r="H302" s="55" t="str">
        <f aca="false">IF(B302="","",IF(G302="",F302,G302))</f>
        <v/>
      </c>
      <c r="I302" s="45"/>
      <c r="J302" s="56"/>
      <c r="K302" s="46"/>
      <c r="L302" s="53" t="str">
        <f aca="false">IF(A302="","",IF(B302="","Missing code",IF(C302="Unknown code","Unknown code",IF(COUNTIF($A$6:$A$505,A302)&gt;1,"Duplicate WO",""))))</f>
        <v/>
      </c>
    </row>
    <row r="303" customFormat="false" ht="15" hidden="false" customHeight="false" outlineLevel="0" collapsed="false">
      <c r="A303" s="46"/>
      <c r="B303" s="46"/>
      <c r="C303" s="53" t="str">
        <f aca="false">IF(B303="","",IFERROR(INDEX('Kitting Plan'!$D$5:$D$18,MATCH(B303,'Kitting Plan'!$C$5:$C$18,0)),"Unknown code"))</f>
        <v/>
      </c>
      <c r="D303" s="53" t="str">
        <f aca="false">IF(B303="","",IFERROR(INDEX('Kitting Plan'!$B$5:$B$18,MATCH(B303,'Kitting Plan'!$C$5:$C$18,0)),""))</f>
        <v/>
      </c>
      <c r="E303" s="45"/>
      <c r="F303" s="54" t="str">
        <f aca="false">IF(B303="","",IFERROR(IF(OR(E303="",E303="All"),INDEX('Kitting Plan'!$E$5:$E$18,MATCH(B303,'Kitting Plan'!$C$5:$C$18,0)),INDEX('Kitting Plan'!$H$5:$H$18,MATCH(B303,'Kitting Plan'!$C$5:$C$18,0))),""))</f>
        <v/>
      </c>
      <c r="G303" s="45"/>
      <c r="H303" s="55" t="str">
        <f aca="false">IF(B303="","",IF(G303="",F303,G303))</f>
        <v/>
      </c>
      <c r="I303" s="45"/>
      <c r="J303" s="56"/>
      <c r="K303" s="46"/>
      <c r="L303" s="53" t="str">
        <f aca="false">IF(A303="","",IF(B303="","Missing code",IF(C303="Unknown code","Unknown code",IF(COUNTIF($A$6:$A$505,A303)&gt;1,"Duplicate WO",""))))</f>
        <v/>
      </c>
    </row>
    <row r="304" customFormat="false" ht="15" hidden="false" customHeight="false" outlineLevel="0" collapsed="false">
      <c r="A304" s="46"/>
      <c r="B304" s="46"/>
      <c r="C304" s="53" t="str">
        <f aca="false">IF(B304="","",IFERROR(INDEX('Kitting Plan'!$D$5:$D$18,MATCH(B304,'Kitting Plan'!$C$5:$C$18,0)),"Unknown code"))</f>
        <v/>
      </c>
      <c r="D304" s="53" t="str">
        <f aca="false">IF(B304="","",IFERROR(INDEX('Kitting Plan'!$B$5:$B$18,MATCH(B304,'Kitting Plan'!$C$5:$C$18,0)),""))</f>
        <v/>
      </c>
      <c r="E304" s="45"/>
      <c r="F304" s="54" t="str">
        <f aca="false">IF(B304="","",IFERROR(IF(OR(E304="",E304="All"),INDEX('Kitting Plan'!$E$5:$E$18,MATCH(B304,'Kitting Plan'!$C$5:$C$18,0)),INDEX('Kitting Plan'!$H$5:$H$18,MATCH(B304,'Kitting Plan'!$C$5:$C$18,0))),""))</f>
        <v/>
      </c>
      <c r="G304" s="45"/>
      <c r="H304" s="55" t="str">
        <f aca="false">IF(B304="","",IF(G304="",F304,G304))</f>
        <v/>
      </c>
      <c r="I304" s="45"/>
      <c r="J304" s="56"/>
      <c r="K304" s="46"/>
      <c r="L304" s="53" t="str">
        <f aca="false">IF(A304="","",IF(B304="","Missing code",IF(C304="Unknown code","Unknown code",IF(COUNTIF($A$6:$A$505,A304)&gt;1,"Duplicate WO",""))))</f>
        <v/>
      </c>
    </row>
    <row r="305" customFormat="false" ht="15" hidden="false" customHeight="false" outlineLevel="0" collapsed="false">
      <c r="A305" s="46"/>
      <c r="B305" s="46"/>
      <c r="C305" s="53" t="str">
        <f aca="false">IF(B305="","",IFERROR(INDEX('Kitting Plan'!$D$5:$D$18,MATCH(B305,'Kitting Plan'!$C$5:$C$18,0)),"Unknown code"))</f>
        <v/>
      </c>
      <c r="D305" s="53" t="str">
        <f aca="false">IF(B305="","",IFERROR(INDEX('Kitting Plan'!$B$5:$B$18,MATCH(B305,'Kitting Plan'!$C$5:$C$18,0)),""))</f>
        <v/>
      </c>
      <c r="E305" s="45"/>
      <c r="F305" s="54" t="str">
        <f aca="false">IF(B305="","",IFERROR(IF(OR(E305="",E305="All"),INDEX('Kitting Plan'!$E$5:$E$18,MATCH(B305,'Kitting Plan'!$C$5:$C$18,0)),INDEX('Kitting Plan'!$H$5:$H$18,MATCH(B305,'Kitting Plan'!$C$5:$C$18,0))),""))</f>
        <v/>
      </c>
      <c r="G305" s="45"/>
      <c r="H305" s="55" t="str">
        <f aca="false">IF(B305="","",IF(G305="",F305,G305))</f>
        <v/>
      </c>
      <c r="I305" s="45"/>
      <c r="J305" s="56"/>
      <c r="K305" s="46"/>
      <c r="L305" s="53" t="str">
        <f aca="false">IF(A305="","",IF(B305="","Missing code",IF(C305="Unknown code","Unknown code",IF(COUNTIF($A$6:$A$505,A305)&gt;1,"Duplicate WO",""))))</f>
        <v/>
      </c>
    </row>
    <row r="306" customFormat="false" ht="15" hidden="false" customHeight="false" outlineLevel="0" collapsed="false">
      <c r="A306" s="46"/>
      <c r="B306" s="46"/>
      <c r="C306" s="53" t="str">
        <f aca="false">IF(B306="","",IFERROR(INDEX('Kitting Plan'!$D$5:$D$18,MATCH(B306,'Kitting Plan'!$C$5:$C$18,0)),"Unknown code"))</f>
        <v/>
      </c>
      <c r="D306" s="53" t="str">
        <f aca="false">IF(B306="","",IFERROR(INDEX('Kitting Plan'!$B$5:$B$18,MATCH(B306,'Kitting Plan'!$C$5:$C$18,0)),""))</f>
        <v/>
      </c>
      <c r="E306" s="45"/>
      <c r="F306" s="54" t="str">
        <f aca="false">IF(B306="","",IFERROR(IF(OR(E306="",E306="All"),INDEX('Kitting Plan'!$E$5:$E$18,MATCH(B306,'Kitting Plan'!$C$5:$C$18,0)),INDEX('Kitting Plan'!$H$5:$H$18,MATCH(B306,'Kitting Plan'!$C$5:$C$18,0))),""))</f>
        <v/>
      </c>
      <c r="G306" s="45"/>
      <c r="H306" s="55" t="str">
        <f aca="false">IF(B306="","",IF(G306="",F306,G306))</f>
        <v/>
      </c>
      <c r="I306" s="45"/>
      <c r="J306" s="56"/>
      <c r="K306" s="46"/>
      <c r="L306" s="53" t="str">
        <f aca="false">IF(A306="","",IF(B306="","Missing code",IF(C306="Unknown code","Unknown code",IF(COUNTIF($A$6:$A$505,A306)&gt;1,"Duplicate WO",""))))</f>
        <v/>
      </c>
    </row>
    <row r="307" customFormat="false" ht="15" hidden="false" customHeight="false" outlineLevel="0" collapsed="false">
      <c r="A307" s="46"/>
      <c r="B307" s="46"/>
      <c r="C307" s="53" t="str">
        <f aca="false">IF(B307="","",IFERROR(INDEX('Kitting Plan'!$D$5:$D$18,MATCH(B307,'Kitting Plan'!$C$5:$C$18,0)),"Unknown code"))</f>
        <v/>
      </c>
      <c r="D307" s="53" t="str">
        <f aca="false">IF(B307="","",IFERROR(INDEX('Kitting Plan'!$B$5:$B$18,MATCH(B307,'Kitting Plan'!$C$5:$C$18,0)),""))</f>
        <v/>
      </c>
      <c r="E307" s="45"/>
      <c r="F307" s="54" t="str">
        <f aca="false">IF(B307="","",IFERROR(IF(OR(E307="",E307="All"),INDEX('Kitting Plan'!$E$5:$E$18,MATCH(B307,'Kitting Plan'!$C$5:$C$18,0)),INDEX('Kitting Plan'!$H$5:$H$18,MATCH(B307,'Kitting Plan'!$C$5:$C$18,0))),""))</f>
        <v/>
      </c>
      <c r="G307" s="45"/>
      <c r="H307" s="55" t="str">
        <f aca="false">IF(B307="","",IF(G307="",F307,G307))</f>
        <v/>
      </c>
      <c r="I307" s="45"/>
      <c r="J307" s="56"/>
      <c r="K307" s="46"/>
      <c r="L307" s="53" t="str">
        <f aca="false">IF(A307="","",IF(B307="","Missing code",IF(C307="Unknown code","Unknown code",IF(COUNTIF($A$6:$A$505,A307)&gt;1,"Duplicate WO",""))))</f>
        <v/>
      </c>
    </row>
    <row r="308" customFormat="false" ht="15" hidden="false" customHeight="false" outlineLevel="0" collapsed="false">
      <c r="A308" s="46"/>
      <c r="B308" s="46"/>
      <c r="C308" s="53" t="str">
        <f aca="false">IF(B308="","",IFERROR(INDEX('Kitting Plan'!$D$5:$D$18,MATCH(B308,'Kitting Plan'!$C$5:$C$18,0)),"Unknown code"))</f>
        <v/>
      </c>
      <c r="D308" s="53" t="str">
        <f aca="false">IF(B308="","",IFERROR(INDEX('Kitting Plan'!$B$5:$B$18,MATCH(B308,'Kitting Plan'!$C$5:$C$18,0)),""))</f>
        <v/>
      </c>
      <c r="E308" s="45"/>
      <c r="F308" s="54" t="str">
        <f aca="false">IF(B308="","",IFERROR(IF(OR(E308="",E308="All"),INDEX('Kitting Plan'!$E$5:$E$18,MATCH(B308,'Kitting Plan'!$C$5:$C$18,0)),INDEX('Kitting Plan'!$H$5:$H$18,MATCH(B308,'Kitting Plan'!$C$5:$C$18,0))),""))</f>
        <v/>
      </c>
      <c r="G308" s="45"/>
      <c r="H308" s="55" t="str">
        <f aca="false">IF(B308="","",IF(G308="",F308,G308))</f>
        <v/>
      </c>
      <c r="I308" s="45"/>
      <c r="J308" s="56"/>
      <c r="K308" s="46"/>
      <c r="L308" s="53" t="str">
        <f aca="false">IF(A308="","",IF(B308="","Missing code",IF(C308="Unknown code","Unknown code",IF(COUNTIF($A$6:$A$505,A308)&gt;1,"Duplicate WO",""))))</f>
        <v/>
      </c>
    </row>
    <row r="309" customFormat="false" ht="15" hidden="false" customHeight="false" outlineLevel="0" collapsed="false">
      <c r="A309" s="46"/>
      <c r="B309" s="46"/>
      <c r="C309" s="53" t="str">
        <f aca="false">IF(B309="","",IFERROR(INDEX('Kitting Plan'!$D$5:$D$18,MATCH(B309,'Kitting Plan'!$C$5:$C$18,0)),"Unknown code"))</f>
        <v/>
      </c>
      <c r="D309" s="53" t="str">
        <f aca="false">IF(B309="","",IFERROR(INDEX('Kitting Plan'!$B$5:$B$18,MATCH(B309,'Kitting Plan'!$C$5:$C$18,0)),""))</f>
        <v/>
      </c>
      <c r="E309" s="45"/>
      <c r="F309" s="54" t="str">
        <f aca="false">IF(B309="","",IFERROR(IF(OR(E309="",E309="All"),INDEX('Kitting Plan'!$E$5:$E$18,MATCH(B309,'Kitting Plan'!$C$5:$C$18,0)),INDEX('Kitting Plan'!$H$5:$H$18,MATCH(B309,'Kitting Plan'!$C$5:$C$18,0))),""))</f>
        <v/>
      </c>
      <c r="G309" s="45"/>
      <c r="H309" s="55" t="str">
        <f aca="false">IF(B309="","",IF(G309="",F309,G309))</f>
        <v/>
      </c>
      <c r="I309" s="45"/>
      <c r="J309" s="56"/>
      <c r="K309" s="46"/>
      <c r="L309" s="53" t="str">
        <f aca="false">IF(A309="","",IF(B309="","Missing code",IF(C309="Unknown code","Unknown code",IF(COUNTIF($A$6:$A$505,A309)&gt;1,"Duplicate WO",""))))</f>
        <v/>
      </c>
    </row>
    <row r="310" customFormat="false" ht="15" hidden="false" customHeight="false" outlineLevel="0" collapsed="false">
      <c r="A310" s="46"/>
      <c r="B310" s="46"/>
      <c r="C310" s="53" t="str">
        <f aca="false">IF(B310="","",IFERROR(INDEX('Kitting Plan'!$D$5:$D$18,MATCH(B310,'Kitting Plan'!$C$5:$C$18,0)),"Unknown code"))</f>
        <v/>
      </c>
      <c r="D310" s="53" t="str">
        <f aca="false">IF(B310="","",IFERROR(INDEX('Kitting Plan'!$B$5:$B$18,MATCH(B310,'Kitting Plan'!$C$5:$C$18,0)),""))</f>
        <v/>
      </c>
      <c r="E310" s="45"/>
      <c r="F310" s="54" t="str">
        <f aca="false">IF(B310="","",IFERROR(IF(OR(E310="",E310="All"),INDEX('Kitting Plan'!$E$5:$E$18,MATCH(B310,'Kitting Plan'!$C$5:$C$18,0)),INDEX('Kitting Plan'!$H$5:$H$18,MATCH(B310,'Kitting Plan'!$C$5:$C$18,0))),""))</f>
        <v/>
      </c>
      <c r="G310" s="45"/>
      <c r="H310" s="55" t="str">
        <f aca="false">IF(B310="","",IF(G310="",F310,G310))</f>
        <v/>
      </c>
      <c r="I310" s="45"/>
      <c r="J310" s="56"/>
      <c r="K310" s="46"/>
      <c r="L310" s="53" t="str">
        <f aca="false">IF(A310="","",IF(B310="","Missing code",IF(C310="Unknown code","Unknown code",IF(COUNTIF($A$6:$A$505,A310)&gt;1,"Duplicate WO",""))))</f>
        <v/>
      </c>
    </row>
    <row r="311" customFormat="false" ht="15" hidden="false" customHeight="false" outlineLevel="0" collapsed="false">
      <c r="A311" s="46"/>
      <c r="B311" s="46"/>
      <c r="C311" s="53" t="str">
        <f aca="false">IF(B311="","",IFERROR(INDEX('Kitting Plan'!$D$5:$D$18,MATCH(B311,'Kitting Plan'!$C$5:$C$18,0)),"Unknown code"))</f>
        <v/>
      </c>
      <c r="D311" s="53" t="str">
        <f aca="false">IF(B311="","",IFERROR(INDEX('Kitting Plan'!$B$5:$B$18,MATCH(B311,'Kitting Plan'!$C$5:$C$18,0)),""))</f>
        <v/>
      </c>
      <c r="E311" s="45"/>
      <c r="F311" s="54" t="str">
        <f aca="false">IF(B311="","",IFERROR(IF(OR(E311="",E311="All"),INDEX('Kitting Plan'!$E$5:$E$18,MATCH(B311,'Kitting Plan'!$C$5:$C$18,0)),INDEX('Kitting Plan'!$H$5:$H$18,MATCH(B311,'Kitting Plan'!$C$5:$C$18,0))),""))</f>
        <v/>
      </c>
      <c r="G311" s="45"/>
      <c r="H311" s="55" t="str">
        <f aca="false">IF(B311="","",IF(G311="",F311,G311))</f>
        <v/>
      </c>
      <c r="I311" s="45"/>
      <c r="J311" s="56"/>
      <c r="K311" s="46"/>
      <c r="L311" s="53" t="str">
        <f aca="false">IF(A311="","",IF(B311="","Missing code",IF(C311="Unknown code","Unknown code",IF(COUNTIF($A$6:$A$505,A311)&gt;1,"Duplicate WO",""))))</f>
        <v/>
      </c>
    </row>
    <row r="312" customFormat="false" ht="15" hidden="false" customHeight="false" outlineLevel="0" collapsed="false">
      <c r="A312" s="46"/>
      <c r="B312" s="46"/>
      <c r="C312" s="53" t="str">
        <f aca="false">IF(B312="","",IFERROR(INDEX('Kitting Plan'!$D$5:$D$18,MATCH(B312,'Kitting Plan'!$C$5:$C$18,0)),"Unknown code"))</f>
        <v/>
      </c>
      <c r="D312" s="53" t="str">
        <f aca="false">IF(B312="","",IFERROR(INDEX('Kitting Plan'!$B$5:$B$18,MATCH(B312,'Kitting Plan'!$C$5:$C$18,0)),""))</f>
        <v/>
      </c>
      <c r="E312" s="45"/>
      <c r="F312" s="54" t="str">
        <f aca="false">IF(B312="","",IFERROR(IF(OR(E312="",E312="All"),INDEX('Kitting Plan'!$E$5:$E$18,MATCH(B312,'Kitting Plan'!$C$5:$C$18,0)),INDEX('Kitting Plan'!$H$5:$H$18,MATCH(B312,'Kitting Plan'!$C$5:$C$18,0))),""))</f>
        <v/>
      </c>
      <c r="G312" s="45"/>
      <c r="H312" s="55" t="str">
        <f aca="false">IF(B312="","",IF(G312="",F312,G312))</f>
        <v/>
      </c>
      <c r="I312" s="45"/>
      <c r="J312" s="56"/>
      <c r="K312" s="46"/>
      <c r="L312" s="53" t="str">
        <f aca="false">IF(A312="","",IF(B312="","Missing code",IF(C312="Unknown code","Unknown code",IF(COUNTIF($A$6:$A$505,A312)&gt;1,"Duplicate WO",""))))</f>
        <v/>
      </c>
    </row>
    <row r="313" customFormat="false" ht="15" hidden="false" customHeight="false" outlineLevel="0" collapsed="false">
      <c r="A313" s="46"/>
      <c r="B313" s="46"/>
      <c r="C313" s="53" t="str">
        <f aca="false">IF(B313="","",IFERROR(INDEX('Kitting Plan'!$D$5:$D$18,MATCH(B313,'Kitting Plan'!$C$5:$C$18,0)),"Unknown code"))</f>
        <v/>
      </c>
      <c r="D313" s="53" t="str">
        <f aca="false">IF(B313="","",IFERROR(INDEX('Kitting Plan'!$B$5:$B$18,MATCH(B313,'Kitting Plan'!$C$5:$C$18,0)),""))</f>
        <v/>
      </c>
      <c r="E313" s="45"/>
      <c r="F313" s="54" t="str">
        <f aca="false">IF(B313="","",IFERROR(IF(OR(E313="",E313="All"),INDEX('Kitting Plan'!$E$5:$E$18,MATCH(B313,'Kitting Plan'!$C$5:$C$18,0)),INDEX('Kitting Plan'!$H$5:$H$18,MATCH(B313,'Kitting Plan'!$C$5:$C$18,0))),""))</f>
        <v/>
      </c>
      <c r="G313" s="45"/>
      <c r="H313" s="55" t="str">
        <f aca="false">IF(B313="","",IF(G313="",F313,G313))</f>
        <v/>
      </c>
      <c r="I313" s="45"/>
      <c r="J313" s="56"/>
      <c r="K313" s="46"/>
      <c r="L313" s="53" t="str">
        <f aca="false">IF(A313="","",IF(B313="","Missing code",IF(C313="Unknown code","Unknown code",IF(COUNTIF($A$6:$A$505,A313)&gt;1,"Duplicate WO",""))))</f>
        <v/>
      </c>
    </row>
    <row r="314" customFormat="false" ht="15" hidden="false" customHeight="false" outlineLevel="0" collapsed="false">
      <c r="A314" s="46"/>
      <c r="B314" s="46"/>
      <c r="C314" s="53" t="str">
        <f aca="false">IF(B314="","",IFERROR(INDEX('Kitting Plan'!$D$5:$D$18,MATCH(B314,'Kitting Plan'!$C$5:$C$18,0)),"Unknown code"))</f>
        <v/>
      </c>
      <c r="D314" s="53" t="str">
        <f aca="false">IF(B314="","",IFERROR(INDEX('Kitting Plan'!$B$5:$B$18,MATCH(B314,'Kitting Plan'!$C$5:$C$18,0)),""))</f>
        <v/>
      </c>
      <c r="E314" s="45"/>
      <c r="F314" s="54" t="str">
        <f aca="false">IF(B314="","",IFERROR(IF(OR(E314="",E314="All"),INDEX('Kitting Plan'!$E$5:$E$18,MATCH(B314,'Kitting Plan'!$C$5:$C$18,0)),INDEX('Kitting Plan'!$H$5:$H$18,MATCH(B314,'Kitting Plan'!$C$5:$C$18,0))),""))</f>
        <v/>
      </c>
      <c r="G314" s="45"/>
      <c r="H314" s="55" t="str">
        <f aca="false">IF(B314="","",IF(G314="",F314,G314))</f>
        <v/>
      </c>
      <c r="I314" s="45"/>
      <c r="J314" s="56"/>
      <c r="K314" s="46"/>
      <c r="L314" s="53" t="str">
        <f aca="false">IF(A314="","",IF(B314="","Missing code",IF(C314="Unknown code","Unknown code",IF(COUNTIF($A$6:$A$505,A314)&gt;1,"Duplicate WO",""))))</f>
        <v/>
      </c>
    </row>
    <row r="315" customFormat="false" ht="15" hidden="false" customHeight="false" outlineLevel="0" collapsed="false">
      <c r="A315" s="46"/>
      <c r="B315" s="46"/>
      <c r="C315" s="53" t="str">
        <f aca="false">IF(B315="","",IFERROR(INDEX('Kitting Plan'!$D$5:$D$18,MATCH(B315,'Kitting Plan'!$C$5:$C$18,0)),"Unknown code"))</f>
        <v/>
      </c>
      <c r="D315" s="53" t="str">
        <f aca="false">IF(B315="","",IFERROR(INDEX('Kitting Plan'!$B$5:$B$18,MATCH(B315,'Kitting Plan'!$C$5:$C$18,0)),""))</f>
        <v/>
      </c>
      <c r="E315" s="45"/>
      <c r="F315" s="54" t="str">
        <f aca="false">IF(B315="","",IFERROR(IF(OR(E315="",E315="All"),INDEX('Kitting Plan'!$E$5:$E$18,MATCH(B315,'Kitting Plan'!$C$5:$C$18,0)),INDEX('Kitting Plan'!$H$5:$H$18,MATCH(B315,'Kitting Plan'!$C$5:$C$18,0))),""))</f>
        <v/>
      </c>
      <c r="G315" s="45"/>
      <c r="H315" s="55" t="str">
        <f aca="false">IF(B315="","",IF(G315="",F315,G315))</f>
        <v/>
      </c>
      <c r="I315" s="45"/>
      <c r="J315" s="56"/>
      <c r="K315" s="46"/>
      <c r="L315" s="53" t="str">
        <f aca="false">IF(A315="","",IF(B315="","Missing code",IF(C315="Unknown code","Unknown code",IF(COUNTIF($A$6:$A$505,A315)&gt;1,"Duplicate WO",""))))</f>
        <v/>
      </c>
    </row>
    <row r="316" customFormat="false" ht="15" hidden="false" customHeight="false" outlineLevel="0" collapsed="false">
      <c r="A316" s="46"/>
      <c r="B316" s="46"/>
      <c r="C316" s="53" t="str">
        <f aca="false">IF(B316="","",IFERROR(INDEX('Kitting Plan'!$D$5:$D$18,MATCH(B316,'Kitting Plan'!$C$5:$C$18,0)),"Unknown code"))</f>
        <v/>
      </c>
      <c r="D316" s="53" t="str">
        <f aca="false">IF(B316="","",IFERROR(INDEX('Kitting Plan'!$B$5:$B$18,MATCH(B316,'Kitting Plan'!$C$5:$C$18,0)),""))</f>
        <v/>
      </c>
      <c r="E316" s="45"/>
      <c r="F316" s="54" t="str">
        <f aca="false">IF(B316="","",IFERROR(IF(OR(E316="",E316="All"),INDEX('Kitting Plan'!$E$5:$E$18,MATCH(B316,'Kitting Plan'!$C$5:$C$18,0)),INDEX('Kitting Plan'!$H$5:$H$18,MATCH(B316,'Kitting Plan'!$C$5:$C$18,0))),""))</f>
        <v/>
      </c>
      <c r="G316" s="45"/>
      <c r="H316" s="55" t="str">
        <f aca="false">IF(B316="","",IF(G316="",F316,G316))</f>
        <v/>
      </c>
      <c r="I316" s="45"/>
      <c r="J316" s="56"/>
      <c r="K316" s="46"/>
      <c r="L316" s="53" t="str">
        <f aca="false">IF(A316="","",IF(B316="","Missing code",IF(C316="Unknown code","Unknown code",IF(COUNTIF($A$6:$A$505,A316)&gt;1,"Duplicate WO",""))))</f>
        <v/>
      </c>
    </row>
    <row r="317" customFormat="false" ht="15" hidden="false" customHeight="false" outlineLevel="0" collapsed="false">
      <c r="A317" s="46"/>
      <c r="B317" s="46"/>
      <c r="C317" s="53" t="str">
        <f aca="false">IF(B317="","",IFERROR(INDEX('Kitting Plan'!$D$5:$D$18,MATCH(B317,'Kitting Plan'!$C$5:$C$18,0)),"Unknown code"))</f>
        <v/>
      </c>
      <c r="D317" s="53" t="str">
        <f aca="false">IF(B317="","",IFERROR(INDEX('Kitting Plan'!$B$5:$B$18,MATCH(B317,'Kitting Plan'!$C$5:$C$18,0)),""))</f>
        <v/>
      </c>
      <c r="E317" s="45"/>
      <c r="F317" s="54" t="str">
        <f aca="false">IF(B317="","",IFERROR(IF(OR(E317="",E317="All"),INDEX('Kitting Plan'!$E$5:$E$18,MATCH(B317,'Kitting Plan'!$C$5:$C$18,0)),INDEX('Kitting Plan'!$H$5:$H$18,MATCH(B317,'Kitting Plan'!$C$5:$C$18,0))),""))</f>
        <v/>
      </c>
      <c r="G317" s="45"/>
      <c r="H317" s="55" t="str">
        <f aca="false">IF(B317="","",IF(G317="",F317,G317))</f>
        <v/>
      </c>
      <c r="I317" s="45"/>
      <c r="J317" s="56"/>
      <c r="K317" s="46"/>
      <c r="L317" s="53" t="str">
        <f aca="false">IF(A317="","",IF(B317="","Missing code",IF(C317="Unknown code","Unknown code",IF(COUNTIF($A$6:$A$505,A317)&gt;1,"Duplicate WO",""))))</f>
        <v/>
      </c>
    </row>
    <row r="318" customFormat="false" ht="15" hidden="false" customHeight="false" outlineLevel="0" collapsed="false">
      <c r="A318" s="46"/>
      <c r="B318" s="46"/>
      <c r="C318" s="53" t="str">
        <f aca="false">IF(B318="","",IFERROR(INDEX('Kitting Plan'!$D$5:$D$18,MATCH(B318,'Kitting Plan'!$C$5:$C$18,0)),"Unknown code"))</f>
        <v/>
      </c>
      <c r="D318" s="53" t="str">
        <f aca="false">IF(B318="","",IFERROR(INDEX('Kitting Plan'!$B$5:$B$18,MATCH(B318,'Kitting Plan'!$C$5:$C$18,0)),""))</f>
        <v/>
      </c>
      <c r="E318" s="45"/>
      <c r="F318" s="54" t="str">
        <f aca="false">IF(B318="","",IFERROR(IF(OR(E318="",E318="All"),INDEX('Kitting Plan'!$E$5:$E$18,MATCH(B318,'Kitting Plan'!$C$5:$C$18,0)),INDEX('Kitting Plan'!$H$5:$H$18,MATCH(B318,'Kitting Plan'!$C$5:$C$18,0))),""))</f>
        <v/>
      </c>
      <c r="G318" s="45"/>
      <c r="H318" s="55" t="str">
        <f aca="false">IF(B318="","",IF(G318="",F318,G318))</f>
        <v/>
      </c>
      <c r="I318" s="45"/>
      <c r="J318" s="56"/>
      <c r="K318" s="46"/>
      <c r="L318" s="53" t="str">
        <f aca="false">IF(A318="","",IF(B318="","Missing code",IF(C318="Unknown code","Unknown code",IF(COUNTIF($A$6:$A$505,A318)&gt;1,"Duplicate WO",""))))</f>
        <v/>
      </c>
    </row>
    <row r="319" customFormat="false" ht="15" hidden="false" customHeight="false" outlineLevel="0" collapsed="false">
      <c r="A319" s="46"/>
      <c r="B319" s="46"/>
      <c r="C319" s="53" t="str">
        <f aca="false">IF(B319="","",IFERROR(INDEX('Kitting Plan'!$D$5:$D$18,MATCH(B319,'Kitting Plan'!$C$5:$C$18,0)),"Unknown code"))</f>
        <v/>
      </c>
      <c r="D319" s="53" t="str">
        <f aca="false">IF(B319="","",IFERROR(INDEX('Kitting Plan'!$B$5:$B$18,MATCH(B319,'Kitting Plan'!$C$5:$C$18,0)),""))</f>
        <v/>
      </c>
      <c r="E319" s="45"/>
      <c r="F319" s="54" t="str">
        <f aca="false">IF(B319="","",IFERROR(IF(OR(E319="",E319="All"),INDEX('Kitting Plan'!$E$5:$E$18,MATCH(B319,'Kitting Plan'!$C$5:$C$18,0)),INDEX('Kitting Plan'!$H$5:$H$18,MATCH(B319,'Kitting Plan'!$C$5:$C$18,0))),""))</f>
        <v/>
      </c>
      <c r="G319" s="45"/>
      <c r="H319" s="55" t="str">
        <f aca="false">IF(B319="","",IF(G319="",F319,G319))</f>
        <v/>
      </c>
      <c r="I319" s="45"/>
      <c r="J319" s="56"/>
      <c r="K319" s="46"/>
      <c r="L319" s="53" t="str">
        <f aca="false">IF(A319="","",IF(B319="","Missing code",IF(C319="Unknown code","Unknown code",IF(COUNTIF($A$6:$A$505,A319)&gt;1,"Duplicate WO",""))))</f>
        <v/>
      </c>
    </row>
    <row r="320" customFormat="false" ht="15" hidden="false" customHeight="false" outlineLevel="0" collapsed="false">
      <c r="A320" s="46"/>
      <c r="B320" s="46"/>
      <c r="C320" s="53" t="str">
        <f aca="false">IF(B320="","",IFERROR(INDEX('Kitting Plan'!$D$5:$D$18,MATCH(B320,'Kitting Plan'!$C$5:$C$18,0)),"Unknown code"))</f>
        <v/>
      </c>
      <c r="D320" s="53" t="str">
        <f aca="false">IF(B320="","",IFERROR(INDEX('Kitting Plan'!$B$5:$B$18,MATCH(B320,'Kitting Plan'!$C$5:$C$18,0)),""))</f>
        <v/>
      </c>
      <c r="E320" s="45"/>
      <c r="F320" s="54" t="str">
        <f aca="false">IF(B320="","",IFERROR(IF(OR(E320="",E320="All"),INDEX('Kitting Plan'!$E$5:$E$18,MATCH(B320,'Kitting Plan'!$C$5:$C$18,0)),INDEX('Kitting Plan'!$H$5:$H$18,MATCH(B320,'Kitting Plan'!$C$5:$C$18,0))),""))</f>
        <v/>
      </c>
      <c r="G320" s="45"/>
      <c r="H320" s="55" t="str">
        <f aca="false">IF(B320="","",IF(G320="",F320,G320))</f>
        <v/>
      </c>
      <c r="I320" s="45"/>
      <c r="J320" s="56"/>
      <c r="K320" s="46"/>
      <c r="L320" s="53" t="str">
        <f aca="false">IF(A320="","",IF(B320="","Missing code",IF(C320="Unknown code","Unknown code",IF(COUNTIF($A$6:$A$505,A320)&gt;1,"Duplicate WO",""))))</f>
        <v/>
      </c>
    </row>
    <row r="321" customFormat="false" ht="15" hidden="false" customHeight="false" outlineLevel="0" collapsed="false">
      <c r="A321" s="46"/>
      <c r="B321" s="46"/>
      <c r="C321" s="53" t="str">
        <f aca="false">IF(B321="","",IFERROR(INDEX('Kitting Plan'!$D$5:$D$18,MATCH(B321,'Kitting Plan'!$C$5:$C$18,0)),"Unknown code"))</f>
        <v/>
      </c>
      <c r="D321" s="53" t="str">
        <f aca="false">IF(B321="","",IFERROR(INDEX('Kitting Plan'!$B$5:$B$18,MATCH(B321,'Kitting Plan'!$C$5:$C$18,0)),""))</f>
        <v/>
      </c>
      <c r="E321" s="45"/>
      <c r="F321" s="54" t="str">
        <f aca="false">IF(B321="","",IFERROR(IF(OR(E321="",E321="All"),INDEX('Kitting Plan'!$E$5:$E$18,MATCH(B321,'Kitting Plan'!$C$5:$C$18,0)),INDEX('Kitting Plan'!$H$5:$H$18,MATCH(B321,'Kitting Plan'!$C$5:$C$18,0))),""))</f>
        <v/>
      </c>
      <c r="G321" s="45"/>
      <c r="H321" s="55" t="str">
        <f aca="false">IF(B321="","",IF(G321="",F321,G321))</f>
        <v/>
      </c>
      <c r="I321" s="45"/>
      <c r="J321" s="56"/>
      <c r="K321" s="46"/>
      <c r="L321" s="53" t="str">
        <f aca="false">IF(A321="","",IF(B321="","Missing code",IF(C321="Unknown code","Unknown code",IF(COUNTIF($A$6:$A$505,A321)&gt;1,"Duplicate WO",""))))</f>
        <v/>
      </c>
    </row>
    <row r="322" customFormat="false" ht="15" hidden="false" customHeight="false" outlineLevel="0" collapsed="false">
      <c r="A322" s="46"/>
      <c r="B322" s="46"/>
      <c r="C322" s="53" t="str">
        <f aca="false">IF(B322="","",IFERROR(INDEX('Kitting Plan'!$D$5:$D$18,MATCH(B322,'Kitting Plan'!$C$5:$C$18,0)),"Unknown code"))</f>
        <v/>
      </c>
      <c r="D322" s="53" t="str">
        <f aca="false">IF(B322="","",IFERROR(INDEX('Kitting Plan'!$B$5:$B$18,MATCH(B322,'Kitting Plan'!$C$5:$C$18,0)),""))</f>
        <v/>
      </c>
      <c r="E322" s="45"/>
      <c r="F322" s="54" t="str">
        <f aca="false">IF(B322="","",IFERROR(IF(OR(E322="",E322="All"),INDEX('Kitting Plan'!$E$5:$E$18,MATCH(B322,'Kitting Plan'!$C$5:$C$18,0)),INDEX('Kitting Plan'!$H$5:$H$18,MATCH(B322,'Kitting Plan'!$C$5:$C$18,0))),""))</f>
        <v/>
      </c>
      <c r="G322" s="45"/>
      <c r="H322" s="55" t="str">
        <f aca="false">IF(B322="","",IF(G322="",F322,G322))</f>
        <v/>
      </c>
      <c r="I322" s="45"/>
      <c r="J322" s="56"/>
      <c r="K322" s="46"/>
      <c r="L322" s="53" t="str">
        <f aca="false">IF(A322="","",IF(B322="","Missing code",IF(C322="Unknown code","Unknown code",IF(COUNTIF($A$6:$A$505,A322)&gt;1,"Duplicate WO",""))))</f>
        <v/>
      </c>
    </row>
    <row r="323" customFormat="false" ht="15" hidden="false" customHeight="false" outlineLevel="0" collapsed="false">
      <c r="A323" s="46"/>
      <c r="B323" s="46"/>
      <c r="C323" s="53" t="str">
        <f aca="false">IF(B323="","",IFERROR(INDEX('Kitting Plan'!$D$5:$D$18,MATCH(B323,'Kitting Plan'!$C$5:$C$18,0)),"Unknown code"))</f>
        <v/>
      </c>
      <c r="D323" s="53" t="str">
        <f aca="false">IF(B323="","",IFERROR(INDEX('Kitting Plan'!$B$5:$B$18,MATCH(B323,'Kitting Plan'!$C$5:$C$18,0)),""))</f>
        <v/>
      </c>
      <c r="E323" s="45"/>
      <c r="F323" s="54" t="str">
        <f aca="false">IF(B323="","",IFERROR(IF(OR(E323="",E323="All"),INDEX('Kitting Plan'!$E$5:$E$18,MATCH(B323,'Kitting Plan'!$C$5:$C$18,0)),INDEX('Kitting Plan'!$H$5:$H$18,MATCH(B323,'Kitting Plan'!$C$5:$C$18,0))),""))</f>
        <v/>
      </c>
      <c r="G323" s="45"/>
      <c r="H323" s="55" t="str">
        <f aca="false">IF(B323="","",IF(G323="",F323,G323))</f>
        <v/>
      </c>
      <c r="I323" s="45"/>
      <c r="J323" s="56"/>
      <c r="K323" s="46"/>
      <c r="L323" s="53" t="str">
        <f aca="false">IF(A323="","",IF(B323="","Missing code",IF(C323="Unknown code","Unknown code",IF(COUNTIF($A$6:$A$505,A323)&gt;1,"Duplicate WO",""))))</f>
        <v/>
      </c>
    </row>
    <row r="324" customFormat="false" ht="15" hidden="false" customHeight="false" outlineLevel="0" collapsed="false">
      <c r="A324" s="46"/>
      <c r="B324" s="46"/>
      <c r="C324" s="53" t="str">
        <f aca="false">IF(B324="","",IFERROR(INDEX('Kitting Plan'!$D$5:$D$18,MATCH(B324,'Kitting Plan'!$C$5:$C$18,0)),"Unknown code"))</f>
        <v/>
      </c>
      <c r="D324" s="53" t="str">
        <f aca="false">IF(B324="","",IFERROR(INDEX('Kitting Plan'!$B$5:$B$18,MATCH(B324,'Kitting Plan'!$C$5:$C$18,0)),""))</f>
        <v/>
      </c>
      <c r="E324" s="45"/>
      <c r="F324" s="54" t="str">
        <f aca="false">IF(B324="","",IFERROR(IF(OR(E324="",E324="All"),INDEX('Kitting Plan'!$E$5:$E$18,MATCH(B324,'Kitting Plan'!$C$5:$C$18,0)),INDEX('Kitting Plan'!$H$5:$H$18,MATCH(B324,'Kitting Plan'!$C$5:$C$18,0))),""))</f>
        <v/>
      </c>
      <c r="G324" s="45"/>
      <c r="H324" s="55" t="str">
        <f aca="false">IF(B324="","",IF(G324="",F324,G324))</f>
        <v/>
      </c>
      <c r="I324" s="45"/>
      <c r="J324" s="56"/>
      <c r="K324" s="46"/>
      <c r="L324" s="53" t="str">
        <f aca="false">IF(A324="","",IF(B324="","Missing code",IF(C324="Unknown code","Unknown code",IF(COUNTIF($A$6:$A$505,A324)&gt;1,"Duplicate WO",""))))</f>
        <v/>
      </c>
    </row>
    <row r="325" customFormat="false" ht="15" hidden="false" customHeight="false" outlineLevel="0" collapsed="false">
      <c r="A325" s="46"/>
      <c r="B325" s="46"/>
      <c r="C325" s="53" t="str">
        <f aca="false">IF(B325="","",IFERROR(INDEX('Kitting Plan'!$D$5:$D$18,MATCH(B325,'Kitting Plan'!$C$5:$C$18,0)),"Unknown code"))</f>
        <v/>
      </c>
      <c r="D325" s="53" t="str">
        <f aca="false">IF(B325="","",IFERROR(INDEX('Kitting Plan'!$B$5:$B$18,MATCH(B325,'Kitting Plan'!$C$5:$C$18,0)),""))</f>
        <v/>
      </c>
      <c r="E325" s="45"/>
      <c r="F325" s="54" t="str">
        <f aca="false">IF(B325="","",IFERROR(IF(OR(E325="",E325="All"),INDEX('Kitting Plan'!$E$5:$E$18,MATCH(B325,'Kitting Plan'!$C$5:$C$18,0)),INDEX('Kitting Plan'!$H$5:$H$18,MATCH(B325,'Kitting Plan'!$C$5:$C$18,0))),""))</f>
        <v/>
      </c>
      <c r="G325" s="45"/>
      <c r="H325" s="55" t="str">
        <f aca="false">IF(B325="","",IF(G325="",F325,G325))</f>
        <v/>
      </c>
      <c r="I325" s="45"/>
      <c r="J325" s="56"/>
      <c r="K325" s="46"/>
      <c r="L325" s="53" t="str">
        <f aca="false">IF(A325="","",IF(B325="","Missing code",IF(C325="Unknown code","Unknown code",IF(COUNTIF($A$6:$A$505,A325)&gt;1,"Duplicate WO",""))))</f>
        <v/>
      </c>
    </row>
    <row r="326" customFormat="false" ht="15" hidden="false" customHeight="false" outlineLevel="0" collapsed="false">
      <c r="A326" s="46"/>
      <c r="B326" s="46"/>
      <c r="C326" s="53" t="str">
        <f aca="false">IF(B326="","",IFERROR(INDEX('Kitting Plan'!$D$5:$D$18,MATCH(B326,'Kitting Plan'!$C$5:$C$18,0)),"Unknown code"))</f>
        <v/>
      </c>
      <c r="D326" s="53" t="str">
        <f aca="false">IF(B326="","",IFERROR(INDEX('Kitting Plan'!$B$5:$B$18,MATCH(B326,'Kitting Plan'!$C$5:$C$18,0)),""))</f>
        <v/>
      </c>
      <c r="E326" s="45"/>
      <c r="F326" s="54" t="str">
        <f aca="false">IF(B326="","",IFERROR(IF(OR(E326="",E326="All"),INDEX('Kitting Plan'!$E$5:$E$18,MATCH(B326,'Kitting Plan'!$C$5:$C$18,0)),INDEX('Kitting Plan'!$H$5:$H$18,MATCH(B326,'Kitting Plan'!$C$5:$C$18,0))),""))</f>
        <v/>
      </c>
      <c r="G326" s="45"/>
      <c r="H326" s="55" t="str">
        <f aca="false">IF(B326="","",IF(G326="",F326,G326))</f>
        <v/>
      </c>
      <c r="I326" s="45"/>
      <c r="J326" s="56"/>
      <c r="K326" s="46"/>
      <c r="L326" s="53" t="str">
        <f aca="false">IF(A326="","",IF(B326="","Missing code",IF(C326="Unknown code","Unknown code",IF(COUNTIF($A$6:$A$505,A326)&gt;1,"Duplicate WO",""))))</f>
        <v/>
      </c>
    </row>
    <row r="327" customFormat="false" ht="15" hidden="false" customHeight="false" outlineLevel="0" collapsed="false">
      <c r="A327" s="46"/>
      <c r="B327" s="46"/>
      <c r="C327" s="53" t="str">
        <f aca="false">IF(B327="","",IFERROR(INDEX('Kitting Plan'!$D$5:$D$18,MATCH(B327,'Kitting Plan'!$C$5:$C$18,0)),"Unknown code"))</f>
        <v/>
      </c>
      <c r="D327" s="53" t="str">
        <f aca="false">IF(B327="","",IFERROR(INDEX('Kitting Plan'!$B$5:$B$18,MATCH(B327,'Kitting Plan'!$C$5:$C$18,0)),""))</f>
        <v/>
      </c>
      <c r="E327" s="45"/>
      <c r="F327" s="54" t="str">
        <f aca="false">IF(B327="","",IFERROR(IF(OR(E327="",E327="All"),INDEX('Kitting Plan'!$E$5:$E$18,MATCH(B327,'Kitting Plan'!$C$5:$C$18,0)),INDEX('Kitting Plan'!$H$5:$H$18,MATCH(B327,'Kitting Plan'!$C$5:$C$18,0))),""))</f>
        <v/>
      </c>
      <c r="G327" s="45"/>
      <c r="H327" s="55" t="str">
        <f aca="false">IF(B327="","",IF(G327="",F327,G327))</f>
        <v/>
      </c>
      <c r="I327" s="45"/>
      <c r="J327" s="56"/>
      <c r="K327" s="46"/>
      <c r="L327" s="53" t="str">
        <f aca="false">IF(A327="","",IF(B327="","Missing code",IF(C327="Unknown code","Unknown code",IF(COUNTIF($A$6:$A$505,A327)&gt;1,"Duplicate WO",""))))</f>
        <v/>
      </c>
    </row>
    <row r="328" customFormat="false" ht="15" hidden="false" customHeight="false" outlineLevel="0" collapsed="false">
      <c r="A328" s="46"/>
      <c r="B328" s="46"/>
      <c r="C328" s="53" t="str">
        <f aca="false">IF(B328="","",IFERROR(INDEX('Kitting Plan'!$D$5:$D$18,MATCH(B328,'Kitting Plan'!$C$5:$C$18,0)),"Unknown code"))</f>
        <v/>
      </c>
      <c r="D328" s="53" t="str">
        <f aca="false">IF(B328="","",IFERROR(INDEX('Kitting Plan'!$B$5:$B$18,MATCH(B328,'Kitting Plan'!$C$5:$C$18,0)),""))</f>
        <v/>
      </c>
      <c r="E328" s="45"/>
      <c r="F328" s="54" t="str">
        <f aca="false">IF(B328="","",IFERROR(IF(OR(E328="",E328="All"),INDEX('Kitting Plan'!$E$5:$E$18,MATCH(B328,'Kitting Plan'!$C$5:$C$18,0)),INDEX('Kitting Plan'!$H$5:$H$18,MATCH(B328,'Kitting Plan'!$C$5:$C$18,0))),""))</f>
        <v/>
      </c>
      <c r="G328" s="45"/>
      <c r="H328" s="55" t="str">
        <f aca="false">IF(B328="","",IF(G328="",F328,G328))</f>
        <v/>
      </c>
      <c r="I328" s="45"/>
      <c r="J328" s="56"/>
      <c r="K328" s="46"/>
      <c r="L328" s="53" t="str">
        <f aca="false">IF(A328="","",IF(B328="","Missing code",IF(C328="Unknown code","Unknown code",IF(COUNTIF($A$6:$A$505,A328)&gt;1,"Duplicate WO",""))))</f>
        <v/>
      </c>
    </row>
    <row r="329" customFormat="false" ht="15" hidden="false" customHeight="false" outlineLevel="0" collapsed="false">
      <c r="A329" s="46"/>
      <c r="B329" s="46"/>
      <c r="C329" s="53" t="str">
        <f aca="false">IF(B329="","",IFERROR(INDEX('Kitting Plan'!$D$5:$D$18,MATCH(B329,'Kitting Plan'!$C$5:$C$18,0)),"Unknown code"))</f>
        <v/>
      </c>
      <c r="D329" s="53" t="str">
        <f aca="false">IF(B329="","",IFERROR(INDEX('Kitting Plan'!$B$5:$B$18,MATCH(B329,'Kitting Plan'!$C$5:$C$18,0)),""))</f>
        <v/>
      </c>
      <c r="E329" s="45"/>
      <c r="F329" s="54" t="str">
        <f aca="false">IF(B329="","",IFERROR(IF(OR(E329="",E329="All"),INDEX('Kitting Plan'!$E$5:$E$18,MATCH(B329,'Kitting Plan'!$C$5:$C$18,0)),INDEX('Kitting Plan'!$H$5:$H$18,MATCH(B329,'Kitting Plan'!$C$5:$C$18,0))),""))</f>
        <v/>
      </c>
      <c r="G329" s="45"/>
      <c r="H329" s="55" t="str">
        <f aca="false">IF(B329="","",IF(G329="",F329,G329))</f>
        <v/>
      </c>
      <c r="I329" s="45"/>
      <c r="J329" s="56"/>
      <c r="K329" s="46"/>
      <c r="L329" s="53" t="str">
        <f aca="false">IF(A329="","",IF(B329="","Missing code",IF(C329="Unknown code","Unknown code",IF(COUNTIF($A$6:$A$505,A329)&gt;1,"Duplicate WO",""))))</f>
        <v/>
      </c>
    </row>
    <row r="330" customFormat="false" ht="15" hidden="false" customHeight="false" outlineLevel="0" collapsed="false">
      <c r="A330" s="46"/>
      <c r="B330" s="46"/>
      <c r="C330" s="53" t="str">
        <f aca="false">IF(B330="","",IFERROR(INDEX('Kitting Plan'!$D$5:$D$18,MATCH(B330,'Kitting Plan'!$C$5:$C$18,0)),"Unknown code"))</f>
        <v/>
      </c>
      <c r="D330" s="53" t="str">
        <f aca="false">IF(B330="","",IFERROR(INDEX('Kitting Plan'!$B$5:$B$18,MATCH(B330,'Kitting Plan'!$C$5:$C$18,0)),""))</f>
        <v/>
      </c>
      <c r="E330" s="45"/>
      <c r="F330" s="54" t="str">
        <f aca="false">IF(B330="","",IFERROR(IF(OR(E330="",E330="All"),INDEX('Kitting Plan'!$E$5:$E$18,MATCH(B330,'Kitting Plan'!$C$5:$C$18,0)),INDEX('Kitting Plan'!$H$5:$H$18,MATCH(B330,'Kitting Plan'!$C$5:$C$18,0))),""))</f>
        <v/>
      </c>
      <c r="G330" s="45"/>
      <c r="H330" s="55" t="str">
        <f aca="false">IF(B330="","",IF(G330="",F330,G330))</f>
        <v/>
      </c>
      <c r="I330" s="45"/>
      <c r="J330" s="56"/>
      <c r="K330" s="46"/>
      <c r="L330" s="53" t="str">
        <f aca="false">IF(A330="","",IF(B330="","Missing code",IF(C330="Unknown code","Unknown code",IF(COUNTIF($A$6:$A$505,A330)&gt;1,"Duplicate WO",""))))</f>
        <v/>
      </c>
    </row>
    <row r="331" customFormat="false" ht="15" hidden="false" customHeight="false" outlineLevel="0" collapsed="false">
      <c r="A331" s="46"/>
      <c r="B331" s="46"/>
      <c r="C331" s="53" t="str">
        <f aca="false">IF(B331="","",IFERROR(INDEX('Kitting Plan'!$D$5:$D$18,MATCH(B331,'Kitting Plan'!$C$5:$C$18,0)),"Unknown code"))</f>
        <v/>
      </c>
      <c r="D331" s="53" t="str">
        <f aca="false">IF(B331="","",IFERROR(INDEX('Kitting Plan'!$B$5:$B$18,MATCH(B331,'Kitting Plan'!$C$5:$C$18,0)),""))</f>
        <v/>
      </c>
      <c r="E331" s="45"/>
      <c r="F331" s="54" t="str">
        <f aca="false">IF(B331="","",IFERROR(IF(OR(E331="",E331="All"),INDEX('Kitting Plan'!$E$5:$E$18,MATCH(B331,'Kitting Plan'!$C$5:$C$18,0)),INDEX('Kitting Plan'!$H$5:$H$18,MATCH(B331,'Kitting Plan'!$C$5:$C$18,0))),""))</f>
        <v/>
      </c>
      <c r="G331" s="45"/>
      <c r="H331" s="55" t="str">
        <f aca="false">IF(B331="","",IF(G331="",F331,G331))</f>
        <v/>
      </c>
      <c r="I331" s="45"/>
      <c r="J331" s="56"/>
      <c r="K331" s="46"/>
      <c r="L331" s="53" t="str">
        <f aca="false">IF(A331="","",IF(B331="","Missing code",IF(C331="Unknown code","Unknown code",IF(COUNTIF($A$6:$A$505,A331)&gt;1,"Duplicate WO",""))))</f>
        <v/>
      </c>
    </row>
    <row r="332" customFormat="false" ht="15" hidden="false" customHeight="false" outlineLevel="0" collapsed="false">
      <c r="A332" s="46"/>
      <c r="B332" s="46"/>
      <c r="C332" s="53" t="str">
        <f aca="false">IF(B332="","",IFERROR(INDEX('Kitting Plan'!$D$5:$D$18,MATCH(B332,'Kitting Plan'!$C$5:$C$18,0)),"Unknown code"))</f>
        <v/>
      </c>
      <c r="D332" s="53" t="str">
        <f aca="false">IF(B332="","",IFERROR(INDEX('Kitting Plan'!$B$5:$B$18,MATCH(B332,'Kitting Plan'!$C$5:$C$18,0)),""))</f>
        <v/>
      </c>
      <c r="E332" s="45"/>
      <c r="F332" s="54" t="str">
        <f aca="false">IF(B332="","",IFERROR(IF(OR(E332="",E332="All"),INDEX('Kitting Plan'!$E$5:$E$18,MATCH(B332,'Kitting Plan'!$C$5:$C$18,0)),INDEX('Kitting Plan'!$H$5:$H$18,MATCH(B332,'Kitting Plan'!$C$5:$C$18,0))),""))</f>
        <v/>
      </c>
      <c r="G332" s="45"/>
      <c r="H332" s="55" t="str">
        <f aca="false">IF(B332="","",IF(G332="",F332,G332))</f>
        <v/>
      </c>
      <c r="I332" s="45"/>
      <c r="J332" s="56"/>
      <c r="K332" s="46"/>
      <c r="L332" s="53" t="str">
        <f aca="false">IF(A332="","",IF(B332="","Missing code",IF(C332="Unknown code","Unknown code",IF(COUNTIF($A$6:$A$505,A332)&gt;1,"Duplicate WO",""))))</f>
        <v/>
      </c>
    </row>
    <row r="333" customFormat="false" ht="15" hidden="false" customHeight="false" outlineLevel="0" collapsed="false">
      <c r="A333" s="46"/>
      <c r="B333" s="46"/>
      <c r="C333" s="53" t="str">
        <f aca="false">IF(B333="","",IFERROR(INDEX('Kitting Plan'!$D$5:$D$18,MATCH(B333,'Kitting Plan'!$C$5:$C$18,0)),"Unknown code"))</f>
        <v/>
      </c>
      <c r="D333" s="53" t="str">
        <f aca="false">IF(B333="","",IFERROR(INDEX('Kitting Plan'!$B$5:$B$18,MATCH(B333,'Kitting Plan'!$C$5:$C$18,0)),""))</f>
        <v/>
      </c>
      <c r="E333" s="45"/>
      <c r="F333" s="54" t="str">
        <f aca="false">IF(B333="","",IFERROR(IF(OR(E333="",E333="All"),INDEX('Kitting Plan'!$E$5:$E$18,MATCH(B333,'Kitting Plan'!$C$5:$C$18,0)),INDEX('Kitting Plan'!$H$5:$H$18,MATCH(B333,'Kitting Plan'!$C$5:$C$18,0))),""))</f>
        <v/>
      </c>
      <c r="G333" s="45"/>
      <c r="H333" s="55" t="str">
        <f aca="false">IF(B333="","",IF(G333="",F333,G333))</f>
        <v/>
      </c>
      <c r="I333" s="45"/>
      <c r="J333" s="56"/>
      <c r="K333" s="46"/>
      <c r="L333" s="53" t="str">
        <f aca="false">IF(A333="","",IF(B333="","Missing code",IF(C333="Unknown code","Unknown code",IF(COUNTIF($A$6:$A$505,A333)&gt;1,"Duplicate WO",""))))</f>
        <v/>
      </c>
    </row>
    <row r="334" customFormat="false" ht="15" hidden="false" customHeight="false" outlineLevel="0" collapsed="false">
      <c r="A334" s="46"/>
      <c r="B334" s="46"/>
      <c r="C334" s="53" t="str">
        <f aca="false">IF(B334="","",IFERROR(INDEX('Kitting Plan'!$D$5:$D$18,MATCH(B334,'Kitting Plan'!$C$5:$C$18,0)),"Unknown code"))</f>
        <v/>
      </c>
      <c r="D334" s="53" t="str">
        <f aca="false">IF(B334="","",IFERROR(INDEX('Kitting Plan'!$B$5:$B$18,MATCH(B334,'Kitting Plan'!$C$5:$C$18,0)),""))</f>
        <v/>
      </c>
      <c r="E334" s="45"/>
      <c r="F334" s="54" t="str">
        <f aca="false">IF(B334="","",IFERROR(IF(OR(E334="",E334="All"),INDEX('Kitting Plan'!$E$5:$E$18,MATCH(B334,'Kitting Plan'!$C$5:$C$18,0)),INDEX('Kitting Plan'!$H$5:$H$18,MATCH(B334,'Kitting Plan'!$C$5:$C$18,0))),""))</f>
        <v/>
      </c>
      <c r="G334" s="45"/>
      <c r="H334" s="55" t="str">
        <f aca="false">IF(B334="","",IF(G334="",F334,G334))</f>
        <v/>
      </c>
      <c r="I334" s="45"/>
      <c r="J334" s="56"/>
      <c r="K334" s="46"/>
      <c r="L334" s="53" t="str">
        <f aca="false">IF(A334="","",IF(B334="","Missing code",IF(C334="Unknown code","Unknown code",IF(COUNTIF($A$6:$A$505,A334)&gt;1,"Duplicate WO",""))))</f>
        <v/>
      </c>
    </row>
    <row r="335" customFormat="false" ht="15" hidden="false" customHeight="false" outlineLevel="0" collapsed="false">
      <c r="A335" s="46"/>
      <c r="B335" s="46"/>
      <c r="C335" s="53" t="str">
        <f aca="false">IF(B335="","",IFERROR(INDEX('Kitting Plan'!$D$5:$D$18,MATCH(B335,'Kitting Plan'!$C$5:$C$18,0)),"Unknown code"))</f>
        <v/>
      </c>
      <c r="D335" s="53" t="str">
        <f aca="false">IF(B335="","",IFERROR(INDEX('Kitting Plan'!$B$5:$B$18,MATCH(B335,'Kitting Plan'!$C$5:$C$18,0)),""))</f>
        <v/>
      </c>
      <c r="E335" s="45"/>
      <c r="F335" s="54" t="str">
        <f aca="false">IF(B335="","",IFERROR(IF(OR(E335="",E335="All"),INDEX('Kitting Plan'!$E$5:$E$18,MATCH(B335,'Kitting Plan'!$C$5:$C$18,0)),INDEX('Kitting Plan'!$H$5:$H$18,MATCH(B335,'Kitting Plan'!$C$5:$C$18,0))),""))</f>
        <v/>
      </c>
      <c r="G335" s="45"/>
      <c r="H335" s="55" t="str">
        <f aca="false">IF(B335="","",IF(G335="",F335,G335))</f>
        <v/>
      </c>
      <c r="I335" s="45"/>
      <c r="J335" s="56"/>
      <c r="K335" s="46"/>
      <c r="L335" s="53" t="str">
        <f aca="false">IF(A335="","",IF(B335="","Missing code",IF(C335="Unknown code","Unknown code",IF(COUNTIF($A$6:$A$505,A335)&gt;1,"Duplicate WO",""))))</f>
        <v/>
      </c>
    </row>
    <row r="336" customFormat="false" ht="15" hidden="false" customHeight="false" outlineLevel="0" collapsed="false">
      <c r="A336" s="46"/>
      <c r="B336" s="46"/>
      <c r="C336" s="53" t="str">
        <f aca="false">IF(B336="","",IFERROR(INDEX('Kitting Plan'!$D$5:$D$18,MATCH(B336,'Kitting Plan'!$C$5:$C$18,0)),"Unknown code"))</f>
        <v/>
      </c>
      <c r="D336" s="53" t="str">
        <f aca="false">IF(B336="","",IFERROR(INDEX('Kitting Plan'!$B$5:$B$18,MATCH(B336,'Kitting Plan'!$C$5:$C$18,0)),""))</f>
        <v/>
      </c>
      <c r="E336" s="45"/>
      <c r="F336" s="54" t="str">
        <f aca="false">IF(B336="","",IFERROR(IF(OR(E336="",E336="All"),INDEX('Kitting Plan'!$E$5:$E$18,MATCH(B336,'Kitting Plan'!$C$5:$C$18,0)),INDEX('Kitting Plan'!$H$5:$H$18,MATCH(B336,'Kitting Plan'!$C$5:$C$18,0))),""))</f>
        <v/>
      </c>
      <c r="G336" s="45"/>
      <c r="H336" s="55" t="str">
        <f aca="false">IF(B336="","",IF(G336="",F336,G336))</f>
        <v/>
      </c>
      <c r="I336" s="45"/>
      <c r="J336" s="56"/>
      <c r="K336" s="46"/>
      <c r="L336" s="53" t="str">
        <f aca="false">IF(A336="","",IF(B336="","Missing code",IF(C336="Unknown code","Unknown code",IF(COUNTIF($A$6:$A$505,A336)&gt;1,"Duplicate WO",""))))</f>
        <v/>
      </c>
    </row>
    <row r="337" customFormat="false" ht="15" hidden="false" customHeight="false" outlineLevel="0" collapsed="false">
      <c r="A337" s="46"/>
      <c r="B337" s="46"/>
      <c r="C337" s="53" t="str">
        <f aca="false">IF(B337="","",IFERROR(INDEX('Kitting Plan'!$D$5:$D$18,MATCH(B337,'Kitting Plan'!$C$5:$C$18,0)),"Unknown code"))</f>
        <v/>
      </c>
      <c r="D337" s="53" t="str">
        <f aca="false">IF(B337="","",IFERROR(INDEX('Kitting Plan'!$B$5:$B$18,MATCH(B337,'Kitting Plan'!$C$5:$C$18,0)),""))</f>
        <v/>
      </c>
      <c r="E337" s="45"/>
      <c r="F337" s="54" t="str">
        <f aca="false">IF(B337="","",IFERROR(IF(OR(E337="",E337="All"),INDEX('Kitting Plan'!$E$5:$E$18,MATCH(B337,'Kitting Plan'!$C$5:$C$18,0)),INDEX('Kitting Plan'!$H$5:$H$18,MATCH(B337,'Kitting Plan'!$C$5:$C$18,0))),""))</f>
        <v/>
      </c>
      <c r="G337" s="45"/>
      <c r="H337" s="55" t="str">
        <f aca="false">IF(B337="","",IF(G337="",F337,G337))</f>
        <v/>
      </c>
      <c r="I337" s="45"/>
      <c r="J337" s="56"/>
      <c r="K337" s="46"/>
      <c r="L337" s="53" t="str">
        <f aca="false">IF(A337="","",IF(B337="","Missing code",IF(C337="Unknown code","Unknown code",IF(COUNTIF($A$6:$A$505,A337)&gt;1,"Duplicate WO",""))))</f>
        <v/>
      </c>
    </row>
    <row r="338" customFormat="false" ht="15" hidden="false" customHeight="false" outlineLevel="0" collapsed="false">
      <c r="A338" s="46"/>
      <c r="B338" s="46"/>
      <c r="C338" s="53" t="str">
        <f aca="false">IF(B338="","",IFERROR(INDEX('Kitting Plan'!$D$5:$D$18,MATCH(B338,'Kitting Plan'!$C$5:$C$18,0)),"Unknown code"))</f>
        <v/>
      </c>
      <c r="D338" s="53" t="str">
        <f aca="false">IF(B338="","",IFERROR(INDEX('Kitting Plan'!$B$5:$B$18,MATCH(B338,'Kitting Plan'!$C$5:$C$18,0)),""))</f>
        <v/>
      </c>
      <c r="E338" s="45"/>
      <c r="F338" s="54" t="str">
        <f aca="false">IF(B338="","",IFERROR(IF(OR(E338="",E338="All"),INDEX('Kitting Plan'!$E$5:$E$18,MATCH(B338,'Kitting Plan'!$C$5:$C$18,0)),INDEX('Kitting Plan'!$H$5:$H$18,MATCH(B338,'Kitting Plan'!$C$5:$C$18,0))),""))</f>
        <v/>
      </c>
      <c r="G338" s="45"/>
      <c r="H338" s="55" t="str">
        <f aca="false">IF(B338="","",IF(G338="",F338,G338))</f>
        <v/>
      </c>
      <c r="I338" s="45"/>
      <c r="J338" s="56"/>
      <c r="K338" s="46"/>
      <c r="L338" s="53" t="str">
        <f aca="false">IF(A338="","",IF(B338="","Missing code",IF(C338="Unknown code","Unknown code",IF(COUNTIF($A$6:$A$505,A338)&gt;1,"Duplicate WO",""))))</f>
        <v/>
      </c>
    </row>
    <row r="339" customFormat="false" ht="15" hidden="false" customHeight="false" outlineLevel="0" collapsed="false">
      <c r="A339" s="46"/>
      <c r="B339" s="46"/>
      <c r="C339" s="53" t="str">
        <f aca="false">IF(B339="","",IFERROR(INDEX('Kitting Plan'!$D$5:$D$18,MATCH(B339,'Kitting Plan'!$C$5:$C$18,0)),"Unknown code"))</f>
        <v/>
      </c>
      <c r="D339" s="53" t="str">
        <f aca="false">IF(B339="","",IFERROR(INDEX('Kitting Plan'!$B$5:$B$18,MATCH(B339,'Kitting Plan'!$C$5:$C$18,0)),""))</f>
        <v/>
      </c>
      <c r="E339" s="45"/>
      <c r="F339" s="54" t="str">
        <f aca="false">IF(B339="","",IFERROR(IF(OR(E339="",E339="All"),INDEX('Kitting Plan'!$E$5:$E$18,MATCH(B339,'Kitting Plan'!$C$5:$C$18,0)),INDEX('Kitting Plan'!$H$5:$H$18,MATCH(B339,'Kitting Plan'!$C$5:$C$18,0))),""))</f>
        <v/>
      </c>
      <c r="G339" s="45"/>
      <c r="H339" s="55" t="str">
        <f aca="false">IF(B339="","",IF(G339="",F339,G339))</f>
        <v/>
      </c>
      <c r="I339" s="45"/>
      <c r="J339" s="56"/>
      <c r="K339" s="46"/>
      <c r="L339" s="53" t="str">
        <f aca="false">IF(A339="","",IF(B339="","Missing code",IF(C339="Unknown code","Unknown code",IF(COUNTIF($A$6:$A$505,A339)&gt;1,"Duplicate WO",""))))</f>
        <v/>
      </c>
    </row>
    <row r="340" customFormat="false" ht="15" hidden="false" customHeight="false" outlineLevel="0" collapsed="false">
      <c r="A340" s="46"/>
      <c r="B340" s="46"/>
      <c r="C340" s="53" t="str">
        <f aca="false">IF(B340="","",IFERROR(INDEX('Kitting Plan'!$D$5:$D$18,MATCH(B340,'Kitting Plan'!$C$5:$C$18,0)),"Unknown code"))</f>
        <v/>
      </c>
      <c r="D340" s="53" t="str">
        <f aca="false">IF(B340="","",IFERROR(INDEX('Kitting Plan'!$B$5:$B$18,MATCH(B340,'Kitting Plan'!$C$5:$C$18,0)),""))</f>
        <v/>
      </c>
      <c r="E340" s="45"/>
      <c r="F340" s="54" t="str">
        <f aca="false">IF(B340="","",IFERROR(IF(OR(E340="",E340="All"),INDEX('Kitting Plan'!$E$5:$E$18,MATCH(B340,'Kitting Plan'!$C$5:$C$18,0)),INDEX('Kitting Plan'!$H$5:$H$18,MATCH(B340,'Kitting Plan'!$C$5:$C$18,0))),""))</f>
        <v/>
      </c>
      <c r="G340" s="45"/>
      <c r="H340" s="55" t="str">
        <f aca="false">IF(B340="","",IF(G340="",F340,G340))</f>
        <v/>
      </c>
      <c r="I340" s="45"/>
      <c r="J340" s="56"/>
      <c r="K340" s="46"/>
      <c r="L340" s="53" t="str">
        <f aca="false">IF(A340="","",IF(B340="","Missing code",IF(C340="Unknown code","Unknown code",IF(COUNTIF($A$6:$A$505,A340)&gt;1,"Duplicate WO",""))))</f>
        <v/>
      </c>
    </row>
    <row r="341" customFormat="false" ht="15" hidden="false" customHeight="false" outlineLevel="0" collapsed="false">
      <c r="A341" s="46"/>
      <c r="B341" s="46"/>
      <c r="C341" s="53" t="str">
        <f aca="false">IF(B341="","",IFERROR(INDEX('Kitting Plan'!$D$5:$D$18,MATCH(B341,'Kitting Plan'!$C$5:$C$18,0)),"Unknown code"))</f>
        <v/>
      </c>
      <c r="D341" s="53" t="str">
        <f aca="false">IF(B341="","",IFERROR(INDEX('Kitting Plan'!$B$5:$B$18,MATCH(B341,'Kitting Plan'!$C$5:$C$18,0)),""))</f>
        <v/>
      </c>
      <c r="E341" s="45"/>
      <c r="F341" s="54" t="str">
        <f aca="false">IF(B341="","",IFERROR(IF(OR(E341="",E341="All"),INDEX('Kitting Plan'!$E$5:$E$18,MATCH(B341,'Kitting Plan'!$C$5:$C$18,0)),INDEX('Kitting Plan'!$H$5:$H$18,MATCH(B341,'Kitting Plan'!$C$5:$C$18,0))),""))</f>
        <v/>
      </c>
      <c r="G341" s="45"/>
      <c r="H341" s="55" t="str">
        <f aca="false">IF(B341="","",IF(G341="",F341,G341))</f>
        <v/>
      </c>
      <c r="I341" s="45"/>
      <c r="J341" s="56"/>
      <c r="K341" s="46"/>
      <c r="L341" s="53" t="str">
        <f aca="false">IF(A341="","",IF(B341="","Missing code",IF(C341="Unknown code","Unknown code",IF(COUNTIF($A$6:$A$505,A341)&gt;1,"Duplicate WO",""))))</f>
        <v/>
      </c>
    </row>
    <row r="342" customFormat="false" ht="15" hidden="false" customHeight="false" outlineLevel="0" collapsed="false">
      <c r="A342" s="46"/>
      <c r="B342" s="46"/>
      <c r="C342" s="53" t="str">
        <f aca="false">IF(B342="","",IFERROR(INDEX('Kitting Plan'!$D$5:$D$18,MATCH(B342,'Kitting Plan'!$C$5:$C$18,0)),"Unknown code"))</f>
        <v/>
      </c>
      <c r="D342" s="53" t="str">
        <f aca="false">IF(B342="","",IFERROR(INDEX('Kitting Plan'!$B$5:$B$18,MATCH(B342,'Kitting Plan'!$C$5:$C$18,0)),""))</f>
        <v/>
      </c>
      <c r="E342" s="45"/>
      <c r="F342" s="54" t="str">
        <f aca="false">IF(B342="","",IFERROR(IF(OR(E342="",E342="All"),INDEX('Kitting Plan'!$E$5:$E$18,MATCH(B342,'Kitting Plan'!$C$5:$C$18,0)),INDEX('Kitting Plan'!$H$5:$H$18,MATCH(B342,'Kitting Plan'!$C$5:$C$18,0))),""))</f>
        <v/>
      </c>
      <c r="G342" s="45"/>
      <c r="H342" s="55" t="str">
        <f aca="false">IF(B342="","",IF(G342="",F342,G342))</f>
        <v/>
      </c>
      <c r="I342" s="45"/>
      <c r="J342" s="56"/>
      <c r="K342" s="46"/>
      <c r="L342" s="53" t="str">
        <f aca="false">IF(A342="","",IF(B342="","Missing code",IF(C342="Unknown code","Unknown code",IF(COUNTIF($A$6:$A$505,A342)&gt;1,"Duplicate WO",""))))</f>
        <v/>
      </c>
    </row>
    <row r="343" customFormat="false" ht="15" hidden="false" customHeight="false" outlineLevel="0" collapsed="false">
      <c r="A343" s="46"/>
      <c r="B343" s="46"/>
      <c r="C343" s="53" t="str">
        <f aca="false">IF(B343="","",IFERROR(INDEX('Kitting Plan'!$D$5:$D$18,MATCH(B343,'Kitting Plan'!$C$5:$C$18,0)),"Unknown code"))</f>
        <v/>
      </c>
      <c r="D343" s="53" t="str">
        <f aca="false">IF(B343="","",IFERROR(INDEX('Kitting Plan'!$B$5:$B$18,MATCH(B343,'Kitting Plan'!$C$5:$C$18,0)),""))</f>
        <v/>
      </c>
      <c r="E343" s="45"/>
      <c r="F343" s="54" t="str">
        <f aca="false">IF(B343="","",IFERROR(IF(OR(E343="",E343="All"),INDEX('Kitting Plan'!$E$5:$E$18,MATCH(B343,'Kitting Plan'!$C$5:$C$18,0)),INDEX('Kitting Plan'!$H$5:$H$18,MATCH(B343,'Kitting Plan'!$C$5:$C$18,0))),""))</f>
        <v/>
      </c>
      <c r="G343" s="45"/>
      <c r="H343" s="55" t="str">
        <f aca="false">IF(B343="","",IF(G343="",F343,G343))</f>
        <v/>
      </c>
      <c r="I343" s="45"/>
      <c r="J343" s="56"/>
      <c r="K343" s="46"/>
      <c r="L343" s="53" t="str">
        <f aca="false">IF(A343="","",IF(B343="","Missing code",IF(C343="Unknown code","Unknown code",IF(COUNTIF($A$6:$A$505,A343)&gt;1,"Duplicate WO",""))))</f>
        <v/>
      </c>
    </row>
    <row r="344" customFormat="false" ht="15" hidden="false" customHeight="false" outlineLevel="0" collapsed="false">
      <c r="A344" s="46"/>
      <c r="B344" s="46"/>
      <c r="C344" s="53" t="str">
        <f aca="false">IF(B344="","",IFERROR(INDEX('Kitting Plan'!$D$5:$D$18,MATCH(B344,'Kitting Plan'!$C$5:$C$18,0)),"Unknown code"))</f>
        <v/>
      </c>
      <c r="D344" s="53" t="str">
        <f aca="false">IF(B344="","",IFERROR(INDEX('Kitting Plan'!$B$5:$B$18,MATCH(B344,'Kitting Plan'!$C$5:$C$18,0)),""))</f>
        <v/>
      </c>
      <c r="E344" s="45"/>
      <c r="F344" s="54" t="str">
        <f aca="false">IF(B344="","",IFERROR(IF(OR(E344="",E344="All"),INDEX('Kitting Plan'!$E$5:$E$18,MATCH(B344,'Kitting Plan'!$C$5:$C$18,0)),INDEX('Kitting Plan'!$H$5:$H$18,MATCH(B344,'Kitting Plan'!$C$5:$C$18,0))),""))</f>
        <v/>
      </c>
      <c r="G344" s="45"/>
      <c r="H344" s="55" t="str">
        <f aca="false">IF(B344="","",IF(G344="",F344,G344))</f>
        <v/>
      </c>
      <c r="I344" s="45"/>
      <c r="J344" s="56"/>
      <c r="K344" s="46"/>
      <c r="L344" s="53" t="str">
        <f aca="false">IF(A344="","",IF(B344="","Missing code",IF(C344="Unknown code","Unknown code",IF(COUNTIF($A$6:$A$505,A344)&gt;1,"Duplicate WO",""))))</f>
        <v/>
      </c>
    </row>
    <row r="345" customFormat="false" ht="15" hidden="false" customHeight="false" outlineLevel="0" collapsed="false">
      <c r="A345" s="46"/>
      <c r="B345" s="46"/>
      <c r="C345" s="53" t="str">
        <f aca="false">IF(B345="","",IFERROR(INDEX('Kitting Plan'!$D$5:$D$18,MATCH(B345,'Kitting Plan'!$C$5:$C$18,0)),"Unknown code"))</f>
        <v/>
      </c>
      <c r="D345" s="53" t="str">
        <f aca="false">IF(B345="","",IFERROR(INDEX('Kitting Plan'!$B$5:$B$18,MATCH(B345,'Kitting Plan'!$C$5:$C$18,0)),""))</f>
        <v/>
      </c>
      <c r="E345" s="45"/>
      <c r="F345" s="54" t="str">
        <f aca="false">IF(B345="","",IFERROR(IF(OR(E345="",E345="All"),INDEX('Kitting Plan'!$E$5:$E$18,MATCH(B345,'Kitting Plan'!$C$5:$C$18,0)),INDEX('Kitting Plan'!$H$5:$H$18,MATCH(B345,'Kitting Plan'!$C$5:$C$18,0))),""))</f>
        <v/>
      </c>
      <c r="G345" s="45"/>
      <c r="H345" s="55" t="str">
        <f aca="false">IF(B345="","",IF(G345="",F345,G345))</f>
        <v/>
      </c>
      <c r="I345" s="45"/>
      <c r="J345" s="56"/>
      <c r="K345" s="46"/>
      <c r="L345" s="53" t="str">
        <f aca="false">IF(A345="","",IF(B345="","Missing code",IF(C345="Unknown code","Unknown code",IF(COUNTIF($A$6:$A$505,A345)&gt;1,"Duplicate WO",""))))</f>
        <v/>
      </c>
    </row>
    <row r="346" customFormat="false" ht="15" hidden="false" customHeight="false" outlineLevel="0" collapsed="false">
      <c r="A346" s="46"/>
      <c r="B346" s="46"/>
      <c r="C346" s="53" t="str">
        <f aca="false">IF(B346="","",IFERROR(INDEX('Kitting Plan'!$D$5:$D$18,MATCH(B346,'Kitting Plan'!$C$5:$C$18,0)),"Unknown code"))</f>
        <v/>
      </c>
      <c r="D346" s="53" t="str">
        <f aca="false">IF(B346="","",IFERROR(INDEX('Kitting Plan'!$B$5:$B$18,MATCH(B346,'Kitting Plan'!$C$5:$C$18,0)),""))</f>
        <v/>
      </c>
      <c r="E346" s="45"/>
      <c r="F346" s="54" t="str">
        <f aca="false">IF(B346="","",IFERROR(IF(OR(E346="",E346="All"),INDEX('Kitting Plan'!$E$5:$E$18,MATCH(B346,'Kitting Plan'!$C$5:$C$18,0)),INDEX('Kitting Plan'!$H$5:$H$18,MATCH(B346,'Kitting Plan'!$C$5:$C$18,0))),""))</f>
        <v/>
      </c>
      <c r="G346" s="45"/>
      <c r="H346" s="55" t="str">
        <f aca="false">IF(B346="","",IF(G346="",F346,G346))</f>
        <v/>
      </c>
      <c r="I346" s="45"/>
      <c r="J346" s="56"/>
      <c r="K346" s="46"/>
      <c r="L346" s="53" t="str">
        <f aca="false">IF(A346="","",IF(B346="","Missing code",IF(C346="Unknown code","Unknown code",IF(COUNTIF($A$6:$A$505,A346)&gt;1,"Duplicate WO",""))))</f>
        <v/>
      </c>
    </row>
    <row r="347" customFormat="false" ht="15" hidden="false" customHeight="false" outlineLevel="0" collapsed="false">
      <c r="A347" s="46"/>
      <c r="B347" s="46"/>
      <c r="C347" s="53" t="str">
        <f aca="false">IF(B347="","",IFERROR(INDEX('Kitting Plan'!$D$5:$D$18,MATCH(B347,'Kitting Plan'!$C$5:$C$18,0)),"Unknown code"))</f>
        <v/>
      </c>
      <c r="D347" s="53" t="str">
        <f aca="false">IF(B347="","",IFERROR(INDEX('Kitting Plan'!$B$5:$B$18,MATCH(B347,'Kitting Plan'!$C$5:$C$18,0)),""))</f>
        <v/>
      </c>
      <c r="E347" s="45"/>
      <c r="F347" s="54" t="str">
        <f aca="false">IF(B347="","",IFERROR(IF(OR(E347="",E347="All"),INDEX('Kitting Plan'!$E$5:$E$18,MATCH(B347,'Kitting Plan'!$C$5:$C$18,0)),INDEX('Kitting Plan'!$H$5:$H$18,MATCH(B347,'Kitting Plan'!$C$5:$C$18,0))),""))</f>
        <v/>
      </c>
      <c r="G347" s="45"/>
      <c r="H347" s="55" t="str">
        <f aca="false">IF(B347="","",IF(G347="",F347,G347))</f>
        <v/>
      </c>
      <c r="I347" s="45"/>
      <c r="J347" s="56"/>
      <c r="K347" s="46"/>
      <c r="L347" s="53" t="str">
        <f aca="false">IF(A347="","",IF(B347="","Missing code",IF(C347="Unknown code","Unknown code",IF(COUNTIF($A$6:$A$505,A347)&gt;1,"Duplicate WO",""))))</f>
        <v/>
      </c>
    </row>
    <row r="348" customFormat="false" ht="15" hidden="false" customHeight="false" outlineLevel="0" collapsed="false">
      <c r="A348" s="46"/>
      <c r="B348" s="46"/>
      <c r="C348" s="53" t="str">
        <f aca="false">IF(B348="","",IFERROR(INDEX('Kitting Plan'!$D$5:$D$18,MATCH(B348,'Kitting Plan'!$C$5:$C$18,0)),"Unknown code"))</f>
        <v/>
      </c>
      <c r="D348" s="53" t="str">
        <f aca="false">IF(B348="","",IFERROR(INDEX('Kitting Plan'!$B$5:$B$18,MATCH(B348,'Kitting Plan'!$C$5:$C$18,0)),""))</f>
        <v/>
      </c>
      <c r="E348" s="45"/>
      <c r="F348" s="54" t="str">
        <f aca="false">IF(B348="","",IFERROR(IF(OR(E348="",E348="All"),INDEX('Kitting Plan'!$E$5:$E$18,MATCH(B348,'Kitting Plan'!$C$5:$C$18,0)),INDEX('Kitting Plan'!$H$5:$H$18,MATCH(B348,'Kitting Plan'!$C$5:$C$18,0))),""))</f>
        <v/>
      </c>
      <c r="G348" s="45"/>
      <c r="H348" s="55" t="str">
        <f aca="false">IF(B348="","",IF(G348="",F348,G348))</f>
        <v/>
      </c>
      <c r="I348" s="45"/>
      <c r="J348" s="56"/>
      <c r="K348" s="46"/>
      <c r="L348" s="53" t="str">
        <f aca="false">IF(A348="","",IF(B348="","Missing code",IF(C348="Unknown code","Unknown code",IF(COUNTIF($A$6:$A$505,A348)&gt;1,"Duplicate WO",""))))</f>
        <v/>
      </c>
    </row>
    <row r="349" customFormat="false" ht="15" hidden="false" customHeight="false" outlineLevel="0" collapsed="false">
      <c r="A349" s="46"/>
      <c r="B349" s="46"/>
      <c r="C349" s="53" t="str">
        <f aca="false">IF(B349="","",IFERROR(INDEX('Kitting Plan'!$D$5:$D$18,MATCH(B349,'Kitting Plan'!$C$5:$C$18,0)),"Unknown code"))</f>
        <v/>
      </c>
      <c r="D349" s="53" t="str">
        <f aca="false">IF(B349="","",IFERROR(INDEX('Kitting Plan'!$B$5:$B$18,MATCH(B349,'Kitting Plan'!$C$5:$C$18,0)),""))</f>
        <v/>
      </c>
      <c r="E349" s="45"/>
      <c r="F349" s="54" t="str">
        <f aca="false">IF(B349="","",IFERROR(IF(OR(E349="",E349="All"),INDEX('Kitting Plan'!$E$5:$E$18,MATCH(B349,'Kitting Plan'!$C$5:$C$18,0)),INDEX('Kitting Plan'!$H$5:$H$18,MATCH(B349,'Kitting Plan'!$C$5:$C$18,0))),""))</f>
        <v/>
      </c>
      <c r="G349" s="45"/>
      <c r="H349" s="55" t="str">
        <f aca="false">IF(B349="","",IF(G349="",F349,G349))</f>
        <v/>
      </c>
      <c r="I349" s="45"/>
      <c r="J349" s="56"/>
      <c r="K349" s="46"/>
      <c r="L349" s="53" t="str">
        <f aca="false">IF(A349="","",IF(B349="","Missing code",IF(C349="Unknown code","Unknown code",IF(COUNTIF($A$6:$A$505,A349)&gt;1,"Duplicate WO",""))))</f>
        <v/>
      </c>
    </row>
    <row r="350" customFormat="false" ht="15" hidden="false" customHeight="false" outlineLevel="0" collapsed="false">
      <c r="A350" s="46"/>
      <c r="B350" s="46"/>
      <c r="C350" s="53" t="str">
        <f aca="false">IF(B350="","",IFERROR(INDEX('Kitting Plan'!$D$5:$D$18,MATCH(B350,'Kitting Plan'!$C$5:$C$18,0)),"Unknown code"))</f>
        <v/>
      </c>
      <c r="D350" s="53" t="str">
        <f aca="false">IF(B350="","",IFERROR(INDEX('Kitting Plan'!$B$5:$B$18,MATCH(B350,'Kitting Plan'!$C$5:$C$18,0)),""))</f>
        <v/>
      </c>
      <c r="E350" s="45"/>
      <c r="F350" s="54" t="str">
        <f aca="false">IF(B350="","",IFERROR(IF(OR(E350="",E350="All"),INDEX('Kitting Plan'!$E$5:$E$18,MATCH(B350,'Kitting Plan'!$C$5:$C$18,0)),INDEX('Kitting Plan'!$H$5:$H$18,MATCH(B350,'Kitting Plan'!$C$5:$C$18,0))),""))</f>
        <v/>
      </c>
      <c r="G350" s="45"/>
      <c r="H350" s="55" t="str">
        <f aca="false">IF(B350="","",IF(G350="",F350,G350))</f>
        <v/>
      </c>
      <c r="I350" s="45"/>
      <c r="J350" s="56"/>
      <c r="K350" s="46"/>
      <c r="L350" s="53" t="str">
        <f aca="false">IF(A350="","",IF(B350="","Missing code",IF(C350="Unknown code","Unknown code",IF(COUNTIF($A$6:$A$505,A350)&gt;1,"Duplicate WO",""))))</f>
        <v/>
      </c>
    </row>
    <row r="351" customFormat="false" ht="15" hidden="false" customHeight="false" outlineLevel="0" collapsed="false">
      <c r="A351" s="46"/>
      <c r="B351" s="46"/>
      <c r="C351" s="53" t="str">
        <f aca="false">IF(B351="","",IFERROR(INDEX('Kitting Plan'!$D$5:$D$18,MATCH(B351,'Kitting Plan'!$C$5:$C$18,0)),"Unknown code"))</f>
        <v/>
      </c>
      <c r="D351" s="53" t="str">
        <f aca="false">IF(B351="","",IFERROR(INDEX('Kitting Plan'!$B$5:$B$18,MATCH(B351,'Kitting Plan'!$C$5:$C$18,0)),""))</f>
        <v/>
      </c>
      <c r="E351" s="45"/>
      <c r="F351" s="54" t="str">
        <f aca="false">IF(B351="","",IFERROR(IF(OR(E351="",E351="All"),INDEX('Kitting Plan'!$E$5:$E$18,MATCH(B351,'Kitting Plan'!$C$5:$C$18,0)),INDEX('Kitting Plan'!$H$5:$H$18,MATCH(B351,'Kitting Plan'!$C$5:$C$18,0))),""))</f>
        <v/>
      </c>
      <c r="G351" s="45"/>
      <c r="H351" s="55" t="str">
        <f aca="false">IF(B351="","",IF(G351="",F351,G351))</f>
        <v/>
      </c>
      <c r="I351" s="45"/>
      <c r="J351" s="56"/>
      <c r="K351" s="46"/>
      <c r="L351" s="53" t="str">
        <f aca="false">IF(A351="","",IF(B351="","Missing code",IF(C351="Unknown code","Unknown code",IF(COUNTIF($A$6:$A$505,A351)&gt;1,"Duplicate WO",""))))</f>
        <v/>
      </c>
    </row>
    <row r="352" customFormat="false" ht="15" hidden="false" customHeight="false" outlineLevel="0" collapsed="false">
      <c r="A352" s="46"/>
      <c r="B352" s="46"/>
      <c r="C352" s="53" t="str">
        <f aca="false">IF(B352="","",IFERROR(INDEX('Kitting Plan'!$D$5:$D$18,MATCH(B352,'Kitting Plan'!$C$5:$C$18,0)),"Unknown code"))</f>
        <v/>
      </c>
      <c r="D352" s="53" t="str">
        <f aca="false">IF(B352="","",IFERROR(INDEX('Kitting Plan'!$B$5:$B$18,MATCH(B352,'Kitting Plan'!$C$5:$C$18,0)),""))</f>
        <v/>
      </c>
      <c r="E352" s="45"/>
      <c r="F352" s="54" t="str">
        <f aca="false">IF(B352="","",IFERROR(IF(OR(E352="",E352="All"),INDEX('Kitting Plan'!$E$5:$E$18,MATCH(B352,'Kitting Plan'!$C$5:$C$18,0)),INDEX('Kitting Plan'!$H$5:$H$18,MATCH(B352,'Kitting Plan'!$C$5:$C$18,0))),""))</f>
        <v/>
      </c>
      <c r="G352" s="45"/>
      <c r="H352" s="55" t="str">
        <f aca="false">IF(B352="","",IF(G352="",F352,G352))</f>
        <v/>
      </c>
      <c r="I352" s="45"/>
      <c r="J352" s="56"/>
      <c r="K352" s="46"/>
      <c r="L352" s="53" t="str">
        <f aca="false">IF(A352="","",IF(B352="","Missing code",IF(C352="Unknown code","Unknown code",IF(COUNTIF($A$6:$A$505,A352)&gt;1,"Duplicate WO",""))))</f>
        <v/>
      </c>
    </row>
    <row r="353" customFormat="false" ht="15" hidden="false" customHeight="false" outlineLevel="0" collapsed="false">
      <c r="A353" s="46"/>
      <c r="B353" s="46"/>
      <c r="C353" s="53" t="str">
        <f aca="false">IF(B353="","",IFERROR(INDEX('Kitting Plan'!$D$5:$D$18,MATCH(B353,'Kitting Plan'!$C$5:$C$18,0)),"Unknown code"))</f>
        <v/>
      </c>
      <c r="D353" s="53" t="str">
        <f aca="false">IF(B353="","",IFERROR(INDEX('Kitting Plan'!$B$5:$B$18,MATCH(B353,'Kitting Plan'!$C$5:$C$18,0)),""))</f>
        <v/>
      </c>
      <c r="E353" s="45"/>
      <c r="F353" s="54" t="str">
        <f aca="false">IF(B353="","",IFERROR(IF(OR(E353="",E353="All"),INDEX('Kitting Plan'!$E$5:$E$18,MATCH(B353,'Kitting Plan'!$C$5:$C$18,0)),INDEX('Kitting Plan'!$H$5:$H$18,MATCH(B353,'Kitting Plan'!$C$5:$C$18,0))),""))</f>
        <v/>
      </c>
      <c r="G353" s="45"/>
      <c r="H353" s="55" t="str">
        <f aca="false">IF(B353="","",IF(G353="",F353,G353))</f>
        <v/>
      </c>
      <c r="I353" s="45"/>
      <c r="J353" s="56"/>
      <c r="K353" s="46"/>
      <c r="L353" s="53" t="str">
        <f aca="false">IF(A353="","",IF(B353="","Missing code",IF(C353="Unknown code","Unknown code",IF(COUNTIF($A$6:$A$505,A353)&gt;1,"Duplicate WO",""))))</f>
        <v/>
      </c>
    </row>
    <row r="354" customFormat="false" ht="15" hidden="false" customHeight="false" outlineLevel="0" collapsed="false">
      <c r="A354" s="46"/>
      <c r="B354" s="46"/>
      <c r="C354" s="53" t="str">
        <f aca="false">IF(B354="","",IFERROR(INDEX('Kitting Plan'!$D$5:$D$18,MATCH(B354,'Kitting Plan'!$C$5:$C$18,0)),"Unknown code"))</f>
        <v/>
      </c>
      <c r="D354" s="53" t="str">
        <f aca="false">IF(B354="","",IFERROR(INDEX('Kitting Plan'!$B$5:$B$18,MATCH(B354,'Kitting Plan'!$C$5:$C$18,0)),""))</f>
        <v/>
      </c>
      <c r="E354" s="45"/>
      <c r="F354" s="54" t="str">
        <f aca="false">IF(B354="","",IFERROR(IF(OR(E354="",E354="All"),INDEX('Kitting Plan'!$E$5:$E$18,MATCH(B354,'Kitting Plan'!$C$5:$C$18,0)),INDEX('Kitting Plan'!$H$5:$H$18,MATCH(B354,'Kitting Plan'!$C$5:$C$18,0))),""))</f>
        <v/>
      </c>
      <c r="G354" s="45"/>
      <c r="H354" s="55" t="str">
        <f aca="false">IF(B354="","",IF(G354="",F354,G354))</f>
        <v/>
      </c>
      <c r="I354" s="45"/>
      <c r="J354" s="56"/>
      <c r="K354" s="46"/>
      <c r="L354" s="53" t="str">
        <f aca="false">IF(A354="","",IF(B354="","Missing code",IF(C354="Unknown code","Unknown code",IF(COUNTIF($A$6:$A$505,A354)&gt;1,"Duplicate WO",""))))</f>
        <v/>
      </c>
    </row>
    <row r="355" customFormat="false" ht="15" hidden="false" customHeight="false" outlineLevel="0" collapsed="false">
      <c r="A355" s="46"/>
      <c r="B355" s="46"/>
      <c r="C355" s="53" t="str">
        <f aca="false">IF(B355="","",IFERROR(INDEX('Kitting Plan'!$D$5:$D$18,MATCH(B355,'Kitting Plan'!$C$5:$C$18,0)),"Unknown code"))</f>
        <v/>
      </c>
      <c r="D355" s="53" t="str">
        <f aca="false">IF(B355="","",IFERROR(INDEX('Kitting Plan'!$B$5:$B$18,MATCH(B355,'Kitting Plan'!$C$5:$C$18,0)),""))</f>
        <v/>
      </c>
      <c r="E355" s="45"/>
      <c r="F355" s="54" t="str">
        <f aca="false">IF(B355="","",IFERROR(IF(OR(E355="",E355="All"),INDEX('Kitting Plan'!$E$5:$E$18,MATCH(B355,'Kitting Plan'!$C$5:$C$18,0)),INDEX('Kitting Plan'!$H$5:$H$18,MATCH(B355,'Kitting Plan'!$C$5:$C$18,0))),""))</f>
        <v/>
      </c>
      <c r="G355" s="45"/>
      <c r="H355" s="55" t="str">
        <f aca="false">IF(B355="","",IF(G355="",F355,G355))</f>
        <v/>
      </c>
      <c r="I355" s="45"/>
      <c r="J355" s="56"/>
      <c r="K355" s="46"/>
      <c r="L355" s="53" t="str">
        <f aca="false">IF(A355="","",IF(B355="","Missing code",IF(C355="Unknown code","Unknown code",IF(COUNTIF($A$6:$A$505,A355)&gt;1,"Duplicate WO",""))))</f>
        <v/>
      </c>
    </row>
    <row r="356" customFormat="false" ht="15" hidden="false" customHeight="false" outlineLevel="0" collapsed="false">
      <c r="A356" s="46"/>
      <c r="B356" s="46"/>
      <c r="C356" s="53" t="str">
        <f aca="false">IF(B356="","",IFERROR(INDEX('Kitting Plan'!$D$5:$D$18,MATCH(B356,'Kitting Plan'!$C$5:$C$18,0)),"Unknown code"))</f>
        <v/>
      </c>
      <c r="D356" s="53" t="str">
        <f aca="false">IF(B356="","",IFERROR(INDEX('Kitting Plan'!$B$5:$B$18,MATCH(B356,'Kitting Plan'!$C$5:$C$18,0)),""))</f>
        <v/>
      </c>
      <c r="E356" s="45"/>
      <c r="F356" s="54" t="str">
        <f aca="false">IF(B356="","",IFERROR(IF(OR(E356="",E356="All"),INDEX('Kitting Plan'!$E$5:$E$18,MATCH(B356,'Kitting Plan'!$C$5:$C$18,0)),INDEX('Kitting Plan'!$H$5:$H$18,MATCH(B356,'Kitting Plan'!$C$5:$C$18,0))),""))</f>
        <v/>
      </c>
      <c r="G356" s="45"/>
      <c r="H356" s="55" t="str">
        <f aca="false">IF(B356="","",IF(G356="",F356,G356))</f>
        <v/>
      </c>
      <c r="I356" s="45"/>
      <c r="J356" s="56"/>
      <c r="K356" s="46"/>
      <c r="L356" s="53" t="str">
        <f aca="false">IF(A356="","",IF(B356="","Missing code",IF(C356="Unknown code","Unknown code",IF(COUNTIF($A$6:$A$505,A356)&gt;1,"Duplicate WO",""))))</f>
        <v/>
      </c>
    </row>
    <row r="357" customFormat="false" ht="15" hidden="false" customHeight="false" outlineLevel="0" collapsed="false">
      <c r="A357" s="46"/>
      <c r="B357" s="46"/>
      <c r="C357" s="53" t="str">
        <f aca="false">IF(B357="","",IFERROR(INDEX('Kitting Plan'!$D$5:$D$18,MATCH(B357,'Kitting Plan'!$C$5:$C$18,0)),"Unknown code"))</f>
        <v/>
      </c>
      <c r="D357" s="53" t="str">
        <f aca="false">IF(B357="","",IFERROR(INDEX('Kitting Plan'!$B$5:$B$18,MATCH(B357,'Kitting Plan'!$C$5:$C$18,0)),""))</f>
        <v/>
      </c>
      <c r="E357" s="45"/>
      <c r="F357" s="54" t="str">
        <f aca="false">IF(B357="","",IFERROR(IF(OR(E357="",E357="All"),INDEX('Kitting Plan'!$E$5:$E$18,MATCH(B357,'Kitting Plan'!$C$5:$C$18,0)),INDEX('Kitting Plan'!$H$5:$H$18,MATCH(B357,'Kitting Plan'!$C$5:$C$18,0))),""))</f>
        <v/>
      </c>
      <c r="G357" s="45"/>
      <c r="H357" s="55" t="str">
        <f aca="false">IF(B357="","",IF(G357="",F357,G357))</f>
        <v/>
      </c>
      <c r="I357" s="45"/>
      <c r="J357" s="56"/>
      <c r="K357" s="46"/>
      <c r="L357" s="53" t="str">
        <f aca="false">IF(A357="","",IF(B357="","Missing code",IF(C357="Unknown code","Unknown code",IF(COUNTIF($A$6:$A$505,A357)&gt;1,"Duplicate WO",""))))</f>
        <v/>
      </c>
    </row>
    <row r="358" customFormat="false" ht="15" hidden="false" customHeight="false" outlineLevel="0" collapsed="false">
      <c r="A358" s="46"/>
      <c r="B358" s="46"/>
      <c r="C358" s="53" t="str">
        <f aca="false">IF(B358="","",IFERROR(INDEX('Kitting Plan'!$D$5:$D$18,MATCH(B358,'Kitting Plan'!$C$5:$C$18,0)),"Unknown code"))</f>
        <v/>
      </c>
      <c r="D358" s="53" t="str">
        <f aca="false">IF(B358="","",IFERROR(INDEX('Kitting Plan'!$B$5:$B$18,MATCH(B358,'Kitting Plan'!$C$5:$C$18,0)),""))</f>
        <v/>
      </c>
      <c r="E358" s="45"/>
      <c r="F358" s="54" t="str">
        <f aca="false">IF(B358="","",IFERROR(IF(OR(E358="",E358="All"),INDEX('Kitting Plan'!$E$5:$E$18,MATCH(B358,'Kitting Plan'!$C$5:$C$18,0)),INDEX('Kitting Plan'!$H$5:$H$18,MATCH(B358,'Kitting Plan'!$C$5:$C$18,0))),""))</f>
        <v/>
      </c>
      <c r="G358" s="45"/>
      <c r="H358" s="55" t="str">
        <f aca="false">IF(B358="","",IF(G358="",F358,G358))</f>
        <v/>
      </c>
      <c r="I358" s="45"/>
      <c r="J358" s="56"/>
      <c r="K358" s="46"/>
      <c r="L358" s="53" t="str">
        <f aca="false">IF(A358="","",IF(B358="","Missing code",IF(C358="Unknown code","Unknown code",IF(COUNTIF($A$6:$A$505,A358)&gt;1,"Duplicate WO",""))))</f>
        <v/>
      </c>
    </row>
    <row r="359" customFormat="false" ht="15" hidden="false" customHeight="false" outlineLevel="0" collapsed="false">
      <c r="A359" s="46"/>
      <c r="B359" s="46"/>
      <c r="C359" s="53" t="str">
        <f aca="false">IF(B359="","",IFERROR(INDEX('Kitting Plan'!$D$5:$D$18,MATCH(B359,'Kitting Plan'!$C$5:$C$18,0)),"Unknown code"))</f>
        <v/>
      </c>
      <c r="D359" s="53" t="str">
        <f aca="false">IF(B359="","",IFERROR(INDEX('Kitting Plan'!$B$5:$B$18,MATCH(B359,'Kitting Plan'!$C$5:$C$18,0)),""))</f>
        <v/>
      </c>
      <c r="E359" s="45"/>
      <c r="F359" s="54" t="str">
        <f aca="false">IF(B359="","",IFERROR(IF(OR(E359="",E359="All"),INDEX('Kitting Plan'!$E$5:$E$18,MATCH(B359,'Kitting Plan'!$C$5:$C$18,0)),INDEX('Kitting Plan'!$H$5:$H$18,MATCH(B359,'Kitting Plan'!$C$5:$C$18,0))),""))</f>
        <v/>
      </c>
      <c r="G359" s="45"/>
      <c r="H359" s="55" t="str">
        <f aca="false">IF(B359="","",IF(G359="",F359,G359))</f>
        <v/>
      </c>
      <c r="I359" s="45"/>
      <c r="J359" s="56"/>
      <c r="K359" s="46"/>
      <c r="L359" s="53" t="str">
        <f aca="false">IF(A359="","",IF(B359="","Missing code",IF(C359="Unknown code","Unknown code",IF(COUNTIF($A$6:$A$505,A359)&gt;1,"Duplicate WO",""))))</f>
        <v/>
      </c>
    </row>
    <row r="360" customFormat="false" ht="15" hidden="false" customHeight="false" outlineLevel="0" collapsed="false">
      <c r="A360" s="46"/>
      <c r="B360" s="46"/>
      <c r="C360" s="53" t="str">
        <f aca="false">IF(B360="","",IFERROR(INDEX('Kitting Plan'!$D$5:$D$18,MATCH(B360,'Kitting Plan'!$C$5:$C$18,0)),"Unknown code"))</f>
        <v/>
      </c>
      <c r="D360" s="53" t="str">
        <f aca="false">IF(B360="","",IFERROR(INDEX('Kitting Plan'!$B$5:$B$18,MATCH(B360,'Kitting Plan'!$C$5:$C$18,0)),""))</f>
        <v/>
      </c>
      <c r="E360" s="45"/>
      <c r="F360" s="54" t="str">
        <f aca="false">IF(B360="","",IFERROR(IF(OR(E360="",E360="All"),INDEX('Kitting Plan'!$E$5:$E$18,MATCH(B360,'Kitting Plan'!$C$5:$C$18,0)),INDEX('Kitting Plan'!$H$5:$H$18,MATCH(B360,'Kitting Plan'!$C$5:$C$18,0))),""))</f>
        <v/>
      </c>
      <c r="G360" s="45"/>
      <c r="H360" s="55" t="str">
        <f aca="false">IF(B360="","",IF(G360="",F360,G360))</f>
        <v/>
      </c>
      <c r="I360" s="45"/>
      <c r="J360" s="56"/>
      <c r="K360" s="46"/>
      <c r="L360" s="53" t="str">
        <f aca="false">IF(A360="","",IF(B360="","Missing code",IF(C360="Unknown code","Unknown code",IF(COUNTIF($A$6:$A$505,A360)&gt;1,"Duplicate WO",""))))</f>
        <v/>
      </c>
    </row>
    <row r="361" customFormat="false" ht="15" hidden="false" customHeight="false" outlineLevel="0" collapsed="false">
      <c r="A361" s="46"/>
      <c r="B361" s="46"/>
      <c r="C361" s="53" t="str">
        <f aca="false">IF(B361="","",IFERROR(INDEX('Kitting Plan'!$D$5:$D$18,MATCH(B361,'Kitting Plan'!$C$5:$C$18,0)),"Unknown code"))</f>
        <v/>
      </c>
      <c r="D361" s="53" t="str">
        <f aca="false">IF(B361="","",IFERROR(INDEX('Kitting Plan'!$B$5:$B$18,MATCH(B361,'Kitting Plan'!$C$5:$C$18,0)),""))</f>
        <v/>
      </c>
      <c r="E361" s="45"/>
      <c r="F361" s="54" t="str">
        <f aca="false">IF(B361="","",IFERROR(IF(OR(E361="",E361="All"),INDEX('Kitting Plan'!$E$5:$E$18,MATCH(B361,'Kitting Plan'!$C$5:$C$18,0)),INDEX('Kitting Plan'!$H$5:$H$18,MATCH(B361,'Kitting Plan'!$C$5:$C$18,0))),""))</f>
        <v/>
      </c>
      <c r="G361" s="45"/>
      <c r="H361" s="55" t="str">
        <f aca="false">IF(B361="","",IF(G361="",F361,G361))</f>
        <v/>
      </c>
      <c r="I361" s="45"/>
      <c r="J361" s="56"/>
      <c r="K361" s="46"/>
      <c r="L361" s="53" t="str">
        <f aca="false">IF(A361="","",IF(B361="","Missing code",IF(C361="Unknown code","Unknown code",IF(COUNTIF($A$6:$A$505,A361)&gt;1,"Duplicate WO",""))))</f>
        <v/>
      </c>
    </row>
    <row r="362" customFormat="false" ht="15" hidden="false" customHeight="false" outlineLevel="0" collapsed="false">
      <c r="A362" s="46"/>
      <c r="B362" s="46"/>
      <c r="C362" s="53" t="str">
        <f aca="false">IF(B362="","",IFERROR(INDEX('Kitting Plan'!$D$5:$D$18,MATCH(B362,'Kitting Plan'!$C$5:$C$18,0)),"Unknown code"))</f>
        <v/>
      </c>
      <c r="D362" s="53" t="str">
        <f aca="false">IF(B362="","",IFERROR(INDEX('Kitting Plan'!$B$5:$B$18,MATCH(B362,'Kitting Plan'!$C$5:$C$18,0)),""))</f>
        <v/>
      </c>
      <c r="E362" s="45"/>
      <c r="F362" s="54" t="str">
        <f aca="false">IF(B362="","",IFERROR(IF(OR(E362="",E362="All"),INDEX('Kitting Plan'!$E$5:$E$18,MATCH(B362,'Kitting Plan'!$C$5:$C$18,0)),INDEX('Kitting Plan'!$H$5:$H$18,MATCH(B362,'Kitting Plan'!$C$5:$C$18,0))),""))</f>
        <v/>
      </c>
      <c r="G362" s="45"/>
      <c r="H362" s="55" t="str">
        <f aca="false">IF(B362="","",IF(G362="",F362,G362))</f>
        <v/>
      </c>
      <c r="I362" s="45"/>
      <c r="J362" s="56"/>
      <c r="K362" s="46"/>
      <c r="L362" s="53" t="str">
        <f aca="false">IF(A362="","",IF(B362="","Missing code",IF(C362="Unknown code","Unknown code",IF(COUNTIF($A$6:$A$505,A362)&gt;1,"Duplicate WO",""))))</f>
        <v/>
      </c>
    </row>
    <row r="363" customFormat="false" ht="15" hidden="false" customHeight="false" outlineLevel="0" collapsed="false">
      <c r="A363" s="46"/>
      <c r="B363" s="46"/>
      <c r="C363" s="53" t="str">
        <f aca="false">IF(B363="","",IFERROR(INDEX('Kitting Plan'!$D$5:$D$18,MATCH(B363,'Kitting Plan'!$C$5:$C$18,0)),"Unknown code"))</f>
        <v/>
      </c>
      <c r="D363" s="53" t="str">
        <f aca="false">IF(B363="","",IFERROR(INDEX('Kitting Plan'!$B$5:$B$18,MATCH(B363,'Kitting Plan'!$C$5:$C$18,0)),""))</f>
        <v/>
      </c>
      <c r="E363" s="45"/>
      <c r="F363" s="54" t="str">
        <f aca="false">IF(B363="","",IFERROR(IF(OR(E363="",E363="All"),INDEX('Kitting Plan'!$E$5:$E$18,MATCH(B363,'Kitting Plan'!$C$5:$C$18,0)),INDEX('Kitting Plan'!$H$5:$H$18,MATCH(B363,'Kitting Plan'!$C$5:$C$18,0))),""))</f>
        <v/>
      </c>
      <c r="G363" s="45"/>
      <c r="H363" s="55" t="str">
        <f aca="false">IF(B363="","",IF(G363="",F363,G363))</f>
        <v/>
      </c>
      <c r="I363" s="45"/>
      <c r="J363" s="56"/>
      <c r="K363" s="46"/>
      <c r="L363" s="53" t="str">
        <f aca="false">IF(A363="","",IF(B363="","Missing code",IF(C363="Unknown code","Unknown code",IF(COUNTIF($A$6:$A$505,A363)&gt;1,"Duplicate WO",""))))</f>
        <v/>
      </c>
    </row>
    <row r="364" customFormat="false" ht="15" hidden="false" customHeight="false" outlineLevel="0" collapsed="false">
      <c r="A364" s="46"/>
      <c r="B364" s="46"/>
      <c r="C364" s="53" t="str">
        <f aca="false">IF(B364="","",IFERROR(INDEX('Kitting Plan'!$D$5:$D$18,MATCH(B364,'Kitting Plan'!$C$5:$C$18,0)),"Unknown code"))</f>
        <v/>
      </c>
      <c r="D364" s="53" t="str">
        <f aca="false">IF(B364="","",IFERROR(INDEX('Kitting Plan'!$B$5:$B$18,MATCH(B364,'Kitting Plan'!$C$5:$C$18,0)),""))</f>
        <v/>
      </c>
      <c r="E364" s="45"/>
      <c r="F364" s="54" t="str">
        <f aca="false">IF(B364="","",IFERROR(IF(OR(E364="",E364="All"),INDEX('Kitting Plan'!$E$5:$E$18,MATCH(B364,'Kitting Plan'!$C$5:$C$18,0)),INDEX('Kitting Plan'!$H$5:$H$18,MATCH(B364,'Kitting Plan'!$C$5:$C$18,0))),""))</f>
        <v/>
      </c>
      <c r="G364" s="45"/>
      <c r="H364" s="55" t="str">
        <f aca="false">IF(B364="","",IF(G364="",F364,G364))</f>
        <v/>
      </c>
      <c r="I364" s="45"/>
      <c r="J364" s="56"/>
      <c r="K364" s="46"/>
      <c r="L364" s="53" t="str">
        <f aca="false">IF(A364="","",IF(B364="","Missing code",IF(C364="Unknown code","Unknown code",IF(COUNTIF($A$6:$A$505,A364)&gt;1,"Duplicate WO",""))))</f>
        <v/>
      </c>
    </row>
    <row r="365" customFormat="false" ht="15" hidden="false" customHeight="false" outlineLevel="0" collapsed="false">
      <c r="A365" s="46"/>
      <c r="B365" s="46"/>
      <c r="C365" s="53" t="str">
        <f aca="false">IF(B365="","",IFERROR(INDEX('Kitting Plan'!$D$5:$D$18,MATCH(B365,'Kitting Plan'!$C$5:$C$18,0)),"Unknown code"))</f>
        <v/>
      </c>
      <c r="D365" s="53" t="str">
        <f aca="false">IF(B365="","",IFERROR(INDEX('Kitting Plan'!$B$5:$B$18,MATCH(B365,'Kitting Plan'!$C$5:$C$18,0)),""))</f>
        <v/>
      </c>
      <c r="E365" s="45"/>
      <c r="F365" s="54" t="str">
        <f aca="false">IF(B365="","",IFERROR(IF(OR(E365="",E365="All"),INDEX('Kitting Plan'!$E$5:$E$18,MATCH(B365,'Kitting Plan'!$C$5:$C$18,0)),INDEX('Kitting Plan'!$H$5:$H$18,MATCH(B365,'Kitting Plan'!$C$5:$C$18,0))),""))</f>
        <v/>
      </c>
      <c r="G365" s="45"/>
      <c r="H365" s="55" t="str">
        <f aca="false">IF(B365="","",IF(G365="",F365,G365))</f>
        <v/>
      </c>
      <c r="I365" s="45"/>
      <c r="J365" s="56"/>
      <c r="K365" s="46"/>
      <c r="L365" s="53" t="str">
        <f aca="false">IF(A365="","",IF(B365="","Missing code",IF(C365="Unknown code","Unknown code",IF(COUNTIF($A$6:$A$505,A365)&gt;1,"Duplicate WO",""))))</f>
        <v/>
      </c>
    </row>
    <row r="366" customFormat="false" ht="15" hidden="false" customHeight="false" outlineLevel="0" collapsed="false">
      <c r="A366" s="46"/>
      <c r="B366" s="46"/>
      <c r="C366" s="53" t="str">
        <f aca="false">IF(B366="","",IFERROR(INDEX('Kitting Plan'!$D$5:$D$18,MATCH(B366,'Kitting Plan'!$C$5:$C$18,0)),"Unknown code"))</f>
        <v/>
      </c>
      <c r="D366" s="53" t="str">
        <f aca="false">IF(B366="","",IFERROR(INDEX('Kitting Plan'!$B$5:$B$18,MATCH(B366,'Kitting Plan'!$C$5:$C$18,0)),""))</f>
        <v/>
      </c>
      <c r="E366" s="45"/>
      <c r="F366" s="54" t="str">
        <f aca="false">IF(B366="","",IFERROR(IF(OR(E366="",E366="All"),INDEX('Kitting Plan'!$E$5:$E$18,MATCH(B366,'Kitting Plan'!$C$5:$C$18,0)),INDEX('Kitting Plan'!$H$5:$H$18,MATCH(B366,'Kitting Plan'!$C$5:$C$18,0))),""))</f>
        <v/>
      </c>
      <c r="G366" s="45"/>
      <c r="H366" s="55" t="str">
        <f aca="false">IF(B366="","",IF(G366="",F366,G366))</f>
        <v/>
      </c>
      <c r="I366" s="45"/>
      <c r="J366" s="56"/>
      <c r="K366" s="46"/>
      <c r="L366" s="53" t="str">
        <f aca="false">IF(A366="","",IF(B366="","Missing code",IF(C366="Unknown code","Unknown code",IF(COUNTIF($A$6:$A$505,A366)&gt;1,"Duplicate WO",""))))</f>
        <v/>
      </c>
    </row>
    <row r="367" customFormat="false" ht="15" hidden="false" customHeight="false" outlineLevel="0" collapsed="false">
      <c r="A367" s="46"/>
      <c r="B367" s="46"/>
      <c r="C367" s="53" t="str">
        <f aca="false">IF(B367="","",IFERROR(INDEX('Kitting Plan'!$D$5:$D$18,MATCH(B367,'Kitting Plan'!$C$5:$C$18,0)),"Unknown code"))</f>
        <v/>
      </c>
      <c r="D367" s="53" t="str">
        <f aca="false">IF(B367="","",IFERROR(INDEX('Kitting Plan'!$B$5:$B$18,MATCH(B367,'Kitting Plan'!$C$5:$C$18,0)),""))</f>
        <v/>
      </c>
      <c r="E367" s="45"/>
      <c r="F367" s="54" t="str">
        <f aca="false">IF(B367="","",IFERROR(IF(OR(E367="",E367="All"),INDEX('Kitting Plan'!$E$5:$E$18,MATCH(B367,'Kitting Plan'!$C$5:$C$18,0)),INDEX('Kitting Plan'!$H$5:$H$18,MATCH(B367,'Kitting Plan'!$C$5:$C$18,0))),""))</f>
        <v/>
      </c>
      <c r="G367" s="45"/>
      <c r="H367" s="55" t="str">
        <f aca="false">IF(B367="","",IF(G367="",F367,G367))</f>
        <v/>
      </c>
      <c r="I367" s="45"/>
      <c r="J367" s="56"/>
      <c r="K367" s="46"/>
      <c r="L367" s="53" t="str">
        <f aca="false">IF(A367="","",IF(B367="","Missing code",IF(C367="Unknown code","Unknown code",IF(COUNTIF($A$6:$A$505,A367)&gt;1,"Duplicate WO",""))))</f>
        <v/>
      </c>
    </row>
    <row r="368" customFormat="false" ht="15" hidden="false" customHeight="false" outlineLevel="0" collapsed="false">
      <c r="A368" s="46"/>
      <c r="B368" s="46"/>
      <c r="C368" s="53" t="str">
        <f aca="false">IF(B368="","",IFERROR(INDEX('Kitting Plan'!$D$5:$D$18,MATCH(B368,'Kitting Plan'!$C$5:$C$18,0)),"Unknown code"))</f>
        <v/>
      </c>
      <c r="D368" s="53" t="str">
        <f aca="false">IF(B368="","",IFERROR(INDEX('Kitting Plan'!$B$5:$B$18,MATCH(B368,'Kitting Plan'!$C$5:$C$18,0)),""))</f>
        <v/>
      </c>
      <c r="E368" s="45"/>
      <c r="F368" s="54" t="str">
        <f aca="false">IF(B368="","",IFERROR(IF(OR(E368="",E368="All"),INDEX('Kitting Plan'!$E$5:$E$18,MATCH(B368,'Kitting Plan'!$C$5:$C$18,0)),INDEX('Kitting Plan'!$H$5:$H$18,MATCH(B368,'Kitting Plan'!$C$5:$C$18,0))),""))</f>
        <v/>
      </c>
      <c r="G368" s="45"/>
      <c r="H368" s="55" t="str">
        <f aca="false">IF(B368="","",IF(G368="",F368,G368))</f>
        <v/>
      </c>
      <c r="I368" s="45"/>
      <c r="J368" s="56"/>
      <c r="K368" s="46"/>
      <c r="L368" s="53" t="str">
        <f aca="false">IF(A368="","",IF(B368="","Missing code",IF(C368="Unknown code","Unknown code",IF(COUNTIF($A$6:$A$505,A368)&gt;1,"Duplicate WO",""))))</f>
        <v/>
      </c>
    </row>
    <row r="369" customFormat="false" ht="15" hidden="false" customHeight="false" outlineLevel="0" collapsed="false">
      <c r="A369" s="46"/>
      <c r="B369" s="46"/>
      <c r="C369" s="53" t="str">
        <f aca="false">IF(B369="","",IFERROR(INDEX('Kitting Plan'!$D$5:$D$18,MATCH(B369,'Kitting Plan'!$C$5:$C$18,0)),"Unknown code"))</f>
        <v/>
      </c>
      <c r="D369" s="53" t="str">
        <f aca="false">IF(B369="","",IFERROR(INDEX('Kitting Plan'!$B$5:$B$18,MATCH(B369,'Kitting Plan'!$C$5:$C$18,0)),""))</f>
        <v/>
      </c>
      <c r="E369" s="45"/>
      <c r="F369" s="54" t="str">
        <f aca="false">IF(B369="","",IFERROR(IF(OR(E369="",E369="All"),INDEX('Kitting Plan'!$E$5:$E$18,MATCH(B369,'Kitting Plan'!$C$5:$C$18,0)),INDEX('Kitting Plan'!$H$5:$H$18,MATCH(B369,'Kitting Plan'!$C$5:$C$18,0))),""))</f>
        <v/>
      </c>
      <c r="G369" s="45"/>
      <c r="H369" s="55" t="str">
        <f aca="false">IF(B369="","",IF(G369="",F369,G369))</f>
        <v/>
      </c>
      <c r="I369" s="45"/>
      <c r="J369" s="56"/>
      <c r="K369" s="46"/>
      <c r="L369" s="53" t="str">
        <f aca="false">IF(A369="","",IF(B369="","Missing code",IF(C369="Unknown code","Unknown code",IF(COUNTIF($A$6:$A$505,A369)&gt;1,"Duplicate WO",""))))</f>
        <v/>
      </c>
    </row>
    <row r="370" customFormat="false" ht="15" hidden="false" customHeight="false" outlineLevel="0" collapsed="false">
      <c r="A370" s="46"/>
      <c r="B370" s="46"/>
      <c r="C370" s="53" t="str">
        <f aca="false">IF(B370="","",IFERROR(INDEX('Kitting Plan'!$D$5:$D$18,MATCH(B370,'Kitting Plan'!$C$5:$C$18,0)),"Unknown code"))</f>
        <v/>
      </c>
      <c r="D370" s="53" t="str">
        <f aca="false">IF(B370="","",IFERROR(INDEX('Kitting Plan'!$B$5:$B$18,MATCH(B370,'Kitting Plan'!$C$5:$C$18,0)),""))</f>
        <v/>
      </c>
      <c r="E370" s="45"/>
      <c r="F370" s="54" t="str">
        <f aca="false">IF(B370="","",IFERROR(IF(OR(E370="",E370="All"),INDEX('Kitting Plan'!$E$5:$E$18,MATCH(B370,'Kitting Plan'!$C$5:$C$18,0)),INDEX('Kitting Plan'!$H$5:$H$18,MATCH(B370,'Kitting Plan'!$C$5:$C$18,0))),""))</f>
        <v/>
      </c>
      <c r="G370" s="45"/>
      <c r="H370" s="55" t="str">
        <f aca="false">IF(B370="","",IF(G370="",F370,G370))</f>
        <v/>
      </c>
      <c r="I370" s="45"/>
      <c r="J370" s="56"/>
      <c r="K370" s="46"/>
      <c r="L370" s="53" t="str">
        <f aca="false">IF(A370="","",IF(B370="","Missing code",IF(C370="Unknown code","Unknown code",IF(COUNTIF($A$6:$A$505,A370)&gt;1,"Duplicate WO",""))))</f>
        <v/>
      </c>
    </row>
    <row r="371" customFormat="false" ht="15" hidden="false" customHeight="false" outlineLevel="0" collapsed="false">
      <c r="A371" s="46"/>
      <c r="B371" s="46"/>
      <c r="C371" s="53" t="str">
        <f aca="false">IF(B371="","",IFERROR(INDEX('Kitting Plan'!$D$5:$D$18,MATCH(B371,'Kitting Plan'!$C$5:$C$18,0)),"Unknown code"))</f>
        <v/>
      </c>
      <c r="D371" s="53" t="str">
        <f aca="false">IF(B371="","",IFERROR(INDEX('Kitting Plan'!$B$5:$B$18,MATCH(B371,'Kitting Plan'!$C$5:$C$18,0)),""))</f>
        <v/>
      </c>
      <c r="E371" s="45"/>
      <c r="F371" s="54" t="str">
        <f aca="false">IF(B371="","",IFERROR(IF(OR(E371="",E371="All"),INDEX('Kitting Plan'!$E$5:$E$18,MATCH(B371,'Kitting Plan'!$C$5:$C$18,0)),INDEX('Kitting Plan'!$H$5:$H$18,MATCH(B371,'Kitting Plan'!$C$5:$C$18,0))),""))</f>
        <v/>
      </c>
      <c r="G371" s="45"/>
      <c r="H371" s="55" t="str">
        <f aca="false">IF(B371="","",IF(G371="",F371,G371))</f>
        <v/>
      </c>
      <c r="I371" s="45"/>
      <c r="J371" s="56"/>
      <c r="K371" s="46"/>
      <c r="L371" s="53" t="str">
        <f aca="false">IF(A371="","",IF(B371="","Missing code",IF(C371="Unknown code","Unknown code",IF(COUNTIF($A$6:$A$505,A371)&gt;1,"Duplicate WO",""))))</f>
        <v/>
      </c>
    </row>
    <row r="372" customFormat="false" ht="15" hidden="false" customHeight="false" outlineLevel="0" collapsed="false">
      <c r="A372" s="46"/>
      <c r="B372" s="46"/>
      <c r="C372" s="53" t="str">
        <f aca="false">IF(B372="","",IFERROR(INDEX('Kitting Plan'!$D$5:$D$18,MATCH(B372,'Kitting Plan'!$C$5:$C$18,0)),"Unknown code"))</f>
        <v/>
      </c>
      <c r="D372" s="53" t="str">
        <f aca="false">IF(B372="","",IFERROR(INDEX('Kitting Plan'!$B$5:$B$18,MATCH(B372,'Kitting Plan'!$C$5:$C$18,0)),""))</f>
        <v/>
      </c>
      <c r="E372" s="45"/>
      <c r="F372" s="54" t="str">
        <f aca="false">IF(B372="","",IFERROR(IF(OR(E372="",E372="All"),INDEX('Kitting Plan'!$E$5:$E$18,MATCH(B372,'Kitting Plan'!$C$5:$C$18,0)),INDEX('Kitting Plan'!$H$5:$H$18,MATCH(B372,'Kitting Plan'!$C$5:$C$18,0))),""))</f>
        <v/>
      </c>
      <c r="G372" s="45"/>
      <c r="H372" s="55" t="str">
        <f aca="false">IF(B372="","",IF(G372="",F372,G372))</f>
        <v/>
      </c>
      <c r="I372" s="45"/>
      <c r="J372" s="56"/>
      <c r="K372" s="46"/>
      <c r="L372" s="53" t="str">
        <f aca="false">IF(A372="","",IF(B372="","Missing code",IF(C372="Unknown code","Unknown code",IF(COUNTIF($A$6:$A$505,A372)&gt;1,"Duplicate WO",""))))</f>
        <v/>
      </c>
    </row>
    <row r="373" customFormat="false" ht="15" hidden="false" customHeight="false" outlineLevel="0" collapsed="false">
      <c r="A373" s="46"/>
      <c r="B373" s="46"/>
      <c r="C373" s="53" t="str">
        <f aca="false">IF(B373="","",IFERROR(INDEX('Kitting Plan'!$D$5:$D$18,MATCH(B373,'Kitting Plan'!$C$5:$C$18,0)),"Unknown code"))</f>
        <v/>
      </c>
      <c r="D373" s="53" t="str">
        <f aca="false">IF(B373="","",IFERROR(INDEX('Kitting Plan'!$B$5:$B$18,MATCH(B373,'Kitting Plan'!$C$5:$C$18,0)),""))</f>
        <v/>
      </c>
      <c r="E373" s="45"/>
      <c r="F373" s="54" t="str">
        <f aca="false">IF(B373="","",IFERROR(IF(OR(E373="",E373="All"),INDEX('Kitting Plan'!$E$5:$E$18,MATCH(B373,'Kitting Plan'!$C$5:$C$18,0)),INDEX('Kitting Plan'!$H$5:$H$18,MATCH(B373,'Kitting Plan'!$C$5:$C$18,0))),""))</f>
        <v/>
      </c>
      <c r="G373" s="45"/>
      <c r="H373" s="55" t="str">
        <f aca="false">IF(B373="","",IF(G373="",F373,G373))</f>
        <v/>
      </c>
      <c r="I373" s="45"/>
      <c r="J373" s="56"/>
      <c r="K373" s="46"/>
      <c r="L373" s="53" t="str">
        <f aca="false">IF(A373="","",IF(B373="","Missing code",IF(C373="Unknown code","Unknown code",IF(COUNTIF($A$6:$A$505,A373)&gt;1,"Duplicate WO",""))))</f>
        <v/>
      </c>
    </row>
    <row r="374" customFormat="false" ht="15" hidden="false" customHeight="false" outlineLevel="0" collapsed="false">
      <c r="A374" s="46"/>
      <c r="B374" s="46"/>
      <c r="C374" s="53" t="str">
        <f aca="false">IF(B374="","",IFERROR(INDEX('Kitting Plan'!$D$5:$D$18,MATCH(B374,'Kitting Plan'!$C$5:$C$18,0)),"Unknown code"))</f>
        <v/>
      </c>
      <c r="D374" s="53" t="str">
        <f aca="false">IF(B374="","",IFERROR(INDEX('Kitting Plan'!$B$5:$B$18,MATCH(B374,'Kitting Plan'!$C$5:$C$18,0)),""))</f>
        <v/>
      </c>
      <c r="E374" s="45"/>
      <c r="F374" s="54" t="str">
        <f aca="false">IF(B374="","",IFERROR(IF(OR(E374="",E374="All"),INDEX('Kitting Plan'!$E$5:$E$18,MATCH(B374,'Kitting Plan'!$C$5:$C$18,0)),INDEX('Kitting Plan'!$H$5:$H$18,MATCH(B374,'Kitting Plan'!$C$5:$C$18,0))),""))</f>
        <v/>
      </c>
      <c r="G374" s="45"/>
      <c r="H374" s="55" t="str">
        <f aca="false">IF(B374="","",IF(G374="",F374,G374))</f>
        <v/>
      </c>
      <c r="I374" s="45"/>
      <c r="J374" s="56"/>
      <c r="K374" s="46"/>
      <c r="L374" s="53" t="str">
        <f aca="false">IF(A374="","",IF(B374="","Missing code",IF(C374="Unknown code","Unknown code",IF(COUNTIF($A$6:$A$505,A374)&gt;1,"Duplicate WO",""))))</f>
        <v/>
      </c>
    </row>
    <row r="375" customFormat="false" ht="15" hidden="false" customHeight="false" outlineLevel="0" collapsed="false">
      <c r="A375" s="46"/>
      <c r="B375" s="46"/>
      <c r="C375" s="53" t="str">
        <f aca="false">IF(B375="","",IFERROR(INDEX('Kitting Plan'!$D$5:$D$18,MATCH(B375,'Kitting Plan'!$C$5:$C$18,0)),"Unknown code"))</f>
        <v/>
      </c>
      <c r="D375" s="53" t="str">
        <f aca="false">IF(B375="","",IFERROR(INDEX('Kitting Plan'!$B$5:$B$18,MATCH(B375,'Kitting Plan'!$C$5:$C$18,0)),""))</f>
        <v/>
      </c>
      <c r="E375" s="45"/>
      <c r="F375" s="54" t="str">
        <f aca="false">IF(B375="","",IFERROR(IF(OR(E375="",E375="All"),INDEX('Kitting Plan'!$E$5:$E$18,MATCH(B375,'Kitting Plan'!$C$5:$C$18,0)),INDEX('Kitting Plan'!$H$5:$H$18,MATCH(B375,'Kitting Plan'!$C$5:$C$18,0))),""))</f>
        <v/>
      </c>
      <c r="G375" s="45"/>
      <c r="H375" s="55" t="str">
        <f aca="false">IF(B375="","",IF(G375="",F375,G375))</f>
        <v/>
      </c>
      <c r="I375" s="45"/>
      <c r="J375" s="56"/>
      <c r="K375" s="46"/>
      <c r="L375" s="53" t="str">
        <f aca="false">IF(A375="","",IF(B375="","Missing code",IF(C375="Unknown code","Unknown code",IF(COUNTIF($A$6:$A$505,A375)&gt;1,"Duplicate WO",""))))</f>
        <v/>
      </c>
    </row>
    <row r="376" customFormat="false" ht="15" hidden="false" customHeight="false" outlineLevel="0" collapsed="false">
      <c r="A376" s="46"/>
      <c r="B376" s="46"/>
      <c r="C376" s="53" t="str">
        <f aca="false">IF(B376="","",IFERROR(INDEX('Kitting Plan'!$D$5:$D$18,MATCH(B376,'Kitting Plan'!$C$5:$C$18,0)),"Unknown code"))</f>
        <v/>
      </c>
      <c r="D376" s="53" t="str">
        <f aca="false">IF(B376="","",IFERROR(INDEX('Kitting Plan'!$B$5:$B$18,MATCH(B376,'Kitting Plan'!$C$5:$C$18,0)),""))</f>
        <v/>
      </c>
      <c r="E376" s="45"/>
      <c r="F376" s="54" t="str">
        <f aca="false">IF(B376="","",IFERROR(IF(OR(E376="",E376="All"),INDEX('Kitting Plan'!$E$5:$E$18,MATCH(B376,'Kitting Plan'!$C$5:$C$18,0)),INDEX('Kitting Plan'!$H$5:$H$18,MATCH(B376,'Kitting Plan'!$C$5:$C$18,0))),""))</f>
        <v/>
      </c>
      <c r="G376" s="45"/>
      <c r="H376" s="55" t="str">
        <f aca="false">IF(B376="","",IF(G376="",F376,G376))</f>
        <v/>
      </c>
      <c r="I376" s="45"/>
      <c r="J376" s="56"/>
      <c r="K376" s="46"/>
      <c r="L376" s="53" t="str">
        <f aca="false">IF(A376="","",IF(B376="","Missing code",IF(C376="Unknown code","Unknown code",IF(COUNTIF($A$6:$A$505,A376)&gt;1,"Duplicate WO",""))))</f>
        <v/>
      </c>
    </row>
    <row r="377" customFormat="false" ht="15" hidden="false" customHeight="false" outlineLevel="0" collapsed="false">
      <c r="A377" s="46"/>
      <c r="B377" s="46"/>
      <c r="C377" s="53" t="str">
        <f aca="false">IF(B377="","",IFERROR(INDEX('Kitting Plan'!$D$5:$D$18,MATCH(B377,'Kitting Plan'!$C$5:$C$18,0)),"Unknown code"))</f>
        <v/>
      </c>
      <c r="D377" s="53" t="str">
        <f aca="false">IF(B377="","",IFERROR(INDEX('Kitting Plan'!$B$5:$B$18,MATCH(B377,'Kitting Plan'!$C$5:$C$18,0)),""))</f>
        <v/>
      </c>
      <c r="E377" s="45"/>
      <c r="F377" s="54" t="str">
        <f aca="false">IF(B377="","",IFERROR(IF(OR(E377="",E377="All"),INDEX('Kitting Plan'!$E$5:$E$18,MATCH(B377,'Kitting Plan'!$C$5:$C$18,0)),INDEX('Kitting Plan'!$H$5:$H$18,MATCH(B377,'Kitting Plan'!$C$5:$C$18,0))),""))</f>
        <v/>
      </c>
      <c r="G377" s="45"/>
      <c r="H377" s="55" t="str">
        <f aca="false">IF(B377="","",IF(G377="",F377,G377))</f>
        <v/>
      </c>
      <c r="I377" s="45"/>
      <c r="J377" s="56"/>
      <c r="K377" s="46"/>
      <c r="L377" s="53" t="str">
        <f aca="false">IF(A377="","",IF(B377="","Missing code",IF(C377="Unknown code","Unknown code",IF(COUNTIF($A$6:$A$505,A377)&gt;1,"Duplicate WO",""))))</f>
        <v/>
      </c>
    </row>
    <row r="378" customFormat="false" ht="15" hidden="false" customHeight="false" outlineLevel="0" collapsed="false">
      <c r="A378" s="46"/>
      <c r="B378" s="46"/>
      <c r="C378" s="53" t="str">
        <f aca="false">IF(B378="","",IFERROR(INDEX('Kitting Plan'!$D$5:$D$18,MATCH(B378,'Kitting Plan'!$C$5:$C$18,0)),"Unknown code"))</f>
        <v/>
      </c>
      <c r="D378" s="53" t="str">
        <f aca="false">IF(B378="","",IFERROR(INDEX('Kitting Plan'!$B$5:$B$18,MATCH(B378,'Kitting Plan'!$C$5:$C$18,0)),""))</f>
        <v/>
      </c>
      <c r="E378" s="45"/>
      <c r="F378" s="54" t="str">
        <f aca="false">IF(B378="","",IFERROR(IF(OR(E378="",E378="All"),INDEX('Kitting Plan'!$E$5:$E$18,MATCH(B378,'Kitting Plan'!$C$5:$C$18,0)),INDEX('Kitting Plan'!$H$5:$H$18,MATCH(B378,'Kitting Plan'!$C$5:$C$18,0))),""))</f>
        <v/>
      </c>
      <c r="G378" s="45"/>
      <c r="H378" s="55" t="str">
        <f aca="false">IF(B378="","",IF(G378="",F378,G378))</f>
        <v/>
      </c>
      <c r="I378" s="45"/>
      <c r="J378" s="56"/>
      <c r="K378" s="46"/>
      <c r="L378" s="53" t="str">
        <f aca="false">IF(A378="","",IF(B378="","Missing code",IF(C378="Unknown code","Unknown code",IF(COUNTIF($A$6:$A$505,A378)&gt;1,"Duplicate WO",""))))</f>
        <v/>
      </c>
    </row>
    <row r="379" customFormat="false" ht="15" hidden="false" customHeight="false" outlineLevel="0" collapsed="false">
      <c r="A379" s="46"/>
      <c r="B379" s="46"/>
      <c r="C379" s="53" t="str">
        <f aca="false">IF(B379="","",IFERROR(INDEX('Kitting Plan'!$D$5:$D$18,MATCH(B379,'Kitting Plan'!$C$5:$C$18,0)),"Unknown code"))</f>
        <v/>
      </c>
      <c r="D379" s="53" t="str">
        <f aca="false">IF(B379="","",IFERROR(INDEX('Kitting Plan'!$B$5:$B$18,MATCH(B379,'Kitting Plan'!$C$5:$C$18,0)),""))</f>
        <v/>
      </c>
      <c r="E379" s="45"/>
      <c r="F379" s="54" t="str">
        <f aca="false">IF(B379="","",IFERROR(IF(OR(E379="",E379="All"),INDEX('Kitting Plan'!$E$5:$E$18,MATCH(B379,'Kitting Plan'!$C$5:$C$18,0)),INDEX('Kitting Plan'!$H$5:$H$18,MATCH(B379,'Kitting Plan'!$C$5:$C$18,0))),""))</f>
        <v/>
      </c>
      <c r="G379" s="45"/>
      <c r="H379" s="55" t="str">
        <f aca="false">IF(B379="","",IF(G379="",F379,G379))</f>
        <v/>
      </c>
      <c r="I379" s="45"/>
      <c r="J379" s="56"/>
      <c r="K379" s="46"/>
      <c r="L379" s="53" t="str">
        <f aca="false">IF(A379="","",IF(B379="","Missing code",IF(C379="Unknown code","Unknown code",IF(COUNTIF($A$6:$A$505,A379)&gt;1,"Duplicate WO",""))))</f>
        <v/>
      </c>
    </row>
    <row r="380" customFormat="false" ht="15" hidden="false" customHeight="false" outlineLevel="0" collapsed="false">
      <c r="A380" s="46"/>
      <c r="B380" s="46"/>
      <c r="C380" s="53" t="str">
        <f aca="false">IF(B380="","",IFERROR(INDEX('Kitting Plan'!$D$5:$D$18,MATCH(B380,'Kitting Plan'!$C$5:$C$18,0)),"Unknown code"))</f>
        <v/>
      </c>
      <c r="D380" s="53" t="str">
        <f aca="false">IF(B380="","",IFERROR(INDEX('Kitting Plan'!$B$5:$B$18,MATCH(B380,'Kitting Plan'!$C$5:$C$18,0)),""))</f>
        <v/>
      </c>
      <c r="E380" s="45"/>
      <c r="F380" s="54" t="str">
        <f aca="false">IF(B380="","",IFERROR(IF(OR(E380="",E380="All"),INDEX('Kitting Plan'!$E$5:$E$18,MATCH(B380,'Kitting Plan'!$C$5:$C$18,0)),INDEX('Kitting Plan'!$H$5:$H$18,MATCH(B380,'Kitting Plan'!$C$5:$C$18,0))),""))</f>
        <v/>
      </c>
      <c r="G380" s="45"/>
      <c r="H380" s="55" t="str">
        <f aca="false">IF(B380="","",IF(G380="",F380,G380))</f>
        <v/>
      </c>
      <c r="I380" s="45"/>
      <c r="J380" s="56"/>
      <c r="K380" s="46"/>
      <c r="L380" s="53" t="str">
        <f aca="false">IF(A380="","",IF(B380="","Missing code",IF(C380="Unknown code","Unknown code",IF(COUNTIF($A$6:$A$505,A380)&gt;1,"Duplicate WO",""))))</f>
        <v/>
      </c>
    </row>
    <row r="381" customFormat="false" ht="15" hidden="false" customHeight="false" outlineLevel="0" collapsed="false">
      <c r="A381" s="46"/>
      <c r="B381" s="46"/>
      <c r="C381" s="53" t="str">
        <f aca="false">IF(B381="","",IFERROR(INDEX('Kitting Plan'!$D$5:$D$18,MATCH(B381,'Kitting Plan'!$C$5:$C$18,0)),"Unknown code"))</f>
        <v/>
      </c>
      <c r="D381" s="53" t="str">
        <f aca="false">IF(B381="","",IFERROR(INDEX('Kitting Plan'!$B$5:$B$18,MATCH(B381,'Kitting Plan'!$C$5:$C$18,0)),""))</f>
        <v/>
      </c>
      <c r="E381" s="45"/>
      <c r="F381" s="54" t="str">
        <f aca="false">IF(B381="","",IFERROR(IF(OR(E381="",E381="All"),INDEX('Kitting Plan'!$E$5:$E$18,MATCH(B381,'Kitting Plan'!$C$5:$C$18,0)),INDEX('Kitting Plan'!$H$5:$H$18,MATCH(B381,'Kitting Plan'!$C$5:$C$18,0))),""))</f>
        <v/>
      </c>
      <c r="G381" s="45"/>
      <c r="H381" s="55" t="str">
        <f aca="false">IF(B381="","",IF(G381="",F381,G381))</f>
        <v/>
      </c>
      <c r="I381" s="45"/>
      <c r="J381" s="56"/>
      <c r="K381" s="46"/>
      <c r="L381" s="53" t="str">
        <f aca="false">IF(A381="","",IF(B381="","Missing code",IF(C381="Unknown code","Unknown code",IF(COUNTIF($A$6:$A$505,A381)&gt;1,"Duplicate WO",""))))</f>
        <v/>
      </c>
    </row>
    <row r="382" customFormat="false" ht="15" hidden="false" customHeight="false" outlineLevel="0" collapsed="false">
      <c r="A382" s="46"/>
      <c r="B382" s="46"/>
      <c r="C382" s="53" t="str">
        <f aca="false">IF(B382="","",IFERROR(INDEX('Kitting Plan'!$D$5:$D$18,MATCH(B382,'Kitting Plan'!$C$5:$C$18,0)),"Unknown code"))</f>
        <v/>
      </c>
      <c r="D382" s="53" t="str">
        <f aca="false">IF(B382="","",IFERROR(INDEX('Kitting Plan'!$B$5:$B$18,MATCH(B382,'Kitting Plan'!$C$5:$C$18,0)),""))</f>
        <v/>
      </c>
      <c r="E382" s="45"/>
      <c r="F382" s="54" t="str">
        <f aca="false">IF(B382="","",IFERROR(IF(OR(E382="",E382="All"),INDEX('Kitting Plan'!$E$5:$E$18,MATCH(B382,'Kitting Plan'!$C$5:$C$18,0)),INDEX('Kitting Plan'!$H$5:$H$18,MATCH(B382,'Kitting Plan'!$C$5:$C$18,0))),""))</f>
        <v/>
      </c>
      <c r="G382" s="45"/>
      <c r="H382" s="55" t="str">
        <f aca="false">IF(B382="","",IF(G382="",F382,G382))</f>
        <v/>
      </c>
      <c r="I382" s="45"/>
      <c r="J382" s="56"/>
      <c r="K382" s="46"/>
      <c r="L382" s="53" t="str">
        <f aca="false">IF(A382="","",IF(B382="","Missing code",IF(C382="Unknown code","Unknown code",IF(COUNTIF($A$6:$A$505,A382)&gt;1,"Duplicate WO",""))))</f>
        <v/>
      </c>
    </row>
    <row r="383" customFormat="false" ht="15" hidden="false" customHeight="false" outlineLevel="0" collapsed="false">
      <c r="A383" s="46"/>
      <c r="B383" s="46"/>
      <c r="C383" s="53" t="str">
        <f aca="false">IF(B383="","",IFERROR(INDEX('Kitting Plan'!$D$5:$D$18,MATCH(B383,'Kitting Plan'!$C$5:$C$18,0)),"Unknown code"))</f>
        <v/>
      </c>
      <c r="D383" s="53" t="str">
        <f aca="false">IF(B383="","",IFERROR(INDEX('Kitting Plan'!$B$5:$B$18,MATCH(B383,'Kitting Plan'!$C$5:$C$18,0)),""))</f>
        <v/>
      </c>
      <c r="E383" s="45"/>
      <c r="F383" s="54" t="str">
        <f aca="false">IF(B383="","",IFERROR(IF(OR(E383="",E383="All"),INDEX('Kitting Plan'!$E$5:$E$18,MATCH(B383,'Kitting Plan'!$C$5:$C$18,0)),INDEX('Kitting Plan'!$H$5:$H$18,MATCH(B383,'Kitting Plan'!$C$5:$C$18,0))),""))</f>
        <v/>
      </c>
      <c r="G383" s="45"/>
      <c r="H383" s="55" t="str">
        <f aca="false">IF(B383="","",IF(G383="",F383,G383))</f>
        <v/>
      </c>
      <c r="I383" s="45"/>
      <c r="J383" s="56"/>
      <c r="K383" s="46"/>
      <c r="L383" s="53" t="str">
        <f aca="false">IF(A383="","",IF(B383="","Missing code",IF(C383="Unknown code","Unknown code",IF(COUNTIF($A$6:$A$505,A383)&gt;1,"Duplicate WO",""))))</f>
        <v/>
      </c>
    </row>
    <row r="384" customFormat="false" ht="15" hidden="false" customHeight="false" outlineLevel="0" collapsed="false">
      <c r="A384" s="46"/>
      <c r="B384" s="46"/>
      <c r="C384" s="53" t="str">
        <f aca="false">IF(B384="","",IFERROR(INDEX('Kitting Plan'!$D$5:$D$18,MATCH(B384,'Kitting Plan'!$C$5:$C$18,0)),"Unknown code"))</f>
        <v/>
      </c>
      <c r="D384" s="53" t="str">
        <f aca="false">IF(B384="","",IFERROR(INDEX('Kitting Plan'!$B$5:$B$18,MATCH(B384,'Kitting Plan'!$C$5:$C$18,0)),""))</f>
        <v/>
      </c>
      <c r="E384" s="45"/>
      <c r="F384" s="54" t="str">
        <f aca="false">IF(B384="","",IFERROR(IF(OR(E384="",E384="All"),INDEX('Kitting Plan'!$E$5:$E$18,MATCH(B384,'Kitting Plan'!$C$5:$C$18,0)),INDEX('Kitting Plan'!$H$5:$H$18,MATCH(B384,'Kitting Plan'!$C$5:$C$18,0))),""))</f>
        <v/>
      </c>
      <c r="G384" s="45"/>
      <c r="H384" s="55" t="str">
        <f aca="false">IF(B384="","",IF(G384="",F384,G384))</f>
        <v/>
      </c>
      <c r="I384" s="45"/>
      <c r="J384" s="56"/>
      <c r="K384" s="46"/>
      <c r="L384" s="53" t="str">
        <f aca="false">IF(A384="","",IF(B384="","Missing code",IF(C384="Unknown code","Unknown code",IF(COUNTIF($A$6:$A$505,A384)&gt;1,"Duplicate WO",""))))</f>
        <v/>
      </c>
    </row>
    <row r="385" customFormat="false" ht="15" hidden="false" customHeight="false" outlineLevel="0" collapsed="false">
      <c r="A385" s="46"/>
      <c r="B385" s="46"/>
      <c r="C385" s="53" t="str">
        <f aca="false">IF(B385="","",IFERROR(INDEX('Kitting Plan'!$D$5:$D$18,MATCH(B385,'Kitting Plan'!$C$5:$C$18,0)),"Unknown code"))</f>
        <v/>
      </c>
      <c r="D385" s="53" t="str">
        <f aca="false">IF(B385="","",IFERROR(INDEX('Kitting Plan'!$B$5:$B$18,MATCH(B385,'Kitting Plan'!$C$5:$C$18,0)),""))</f>
        <v/>
      </c>
      <c r="E385" s="45"/>
      <c r="F385" s="54" t="str">
        <f aca="false">IF(B385="","",IFERROR(IF(OR(E385="",E385="All"),INDEX('Kitting Plan'!$E$5:$E$18,MATCH(B385,'Kitting Plan'!$C$5:$C$18,0)),INDEX('Kitting Plan'!$H$5:$H$18,MATCH(B385,'Kitting Plan'!$C$5:$C$18,0))),""))</f>
        <v/>
      </c>
      <c r="G385" s="45"/>
      <c r="H385" s="55" t="str">
        <f aca="false">IF(B385="","",IF(G385="",F385,G385))</f>
        <v/>
      </c>
      <c r="I385" s="45"/>
      <c r="J385" s="56"/>
      <c r="K385" s="46"/>
      <c r="L385" s="53" t="str">
        <f aca="false">IF(A385="","",IF(B385="","Missing code",IF(C385="Unknown code","Unknown code",IF(COUNTIF($A$6:$A$505,A385)&gt;1,"Duplicate WO",""))))</f>
        <v/>
      </c>
    </row>
    <row r="386" customFormat="false" ht="15" hidden="false" customHeight="false" outlineLevel="0" collapsed="false">
      <c r="A386" s="46"/>
      <c r="B386" s="46"/>
      <c r="C386" s="53" t="str">
        <f aca="false">IF(B386="","",IFERROR(INDEX('Kitting Plan'!$D$5:$D$18,MATCH(B386,'Kitting Plan'!$C$5:$C$18,0)),"Unknown code"))</f>
        <v/>
      </c>
      <c r="D386" s="53" t="str">
        <f aca="false">IF(B386="","",IFERROR(INDEX('Kitting Plan'!$B$5:$B$18,MATCH(B386,'Kitting Plan'!$C$5:$C$18,0)),""))</f>
        <v/>
      </c>
      <c r="E386" s="45"/>
      <c r="F386" s="54" t="str">
        <f aca="false">IF(B386="","",IFERROR(IF(OR(E386="",E386="All"),INDEX('Kitting Plan'!$E$5:$E$18,MATCH(B386,'Kitting Plan'!$C$5:$C$18,0)),INDEX('Kitting Plan'!$H$5:$H$18,MATCH(B386,'Kitting Plan'!$C$5:$C$18,0))),""))</f>
        <v/>
      </c>
      <c r="G386" s="45"/>
      <c r="H386" s="55" t="str">
        <f aca="false">IF(B386="","",IF(G386="",F386,G386))</f>
        <v/>
      </c>
      <c r="I386" s="45"/>
      <c r="J386" s="56"/>
      <c r="K386" s="46"/>
      <c r="L386" s="53" t="str">
        <f aca="false">IF(A386="","",IF(B386="","Missing code",IF(C386="Unknown code","Unknown code",IF(COUNTIF($A$6:$A$505,A386)&gt;1,"Duplicate WO",""))))</f>
        <v/>
      </c>
    </row>
    <row r="387" customFormat="false" ht="15" hidden="false" customHeight="false" outlineLevel="0" collapsed="false">
      <c r="A387" s="46"/>
      <c r="B387" s="46"/>
      <c r="C387" s="53" t="str">
        <f aca="false">IF(B387="","",IFERROR(INDEX('Kitting Plan'!$D$5:$D$18,MATCH(B387,'Kitting Plan'!$C$5:$C$18,0)),"Unknown code"))</f>
        <v/>
      </c>
      <c r="D387" s="53" t="str">
        <f aca="false">IF(B387="","",IFERROR(INDEX('Kitting Plan'!$B$5:$B$18,MATCH(B387,'Kitting Plan'!$C$5:$C$18,0)),""))</f>
        <v/>
      </c>
      <c r="E387" s="45"/>
      <c r="F387" s="54" t="str">
        <f aca="false">IF(B387="","",IFERROR(IF(OR(E387="",E387="All"),INDEX('Kitting Plan'!$E$5:$E$18,MATCH(B387,'Kitting Plan'!$C$5:$C$18,0)),INDEX('Kitting Plan'!$H$5:$H$18,MATCH(B387,'Kitting Plan'!$C$5:$C$18,0))),""))</f>
        <v/>
      </c>
      <c r="G387" s="45"/>
      <c r="H387" s="55" t="str">
        <f aca="false">IF(B387="","",IF(G387="",F387,G387))</f>
        <v/>
      </c>
      <c r="I387" s="45"/>
      <c r="J387" s="56"/>
      <c r="K387" s="46"/>
      <c r="L387" s="53" t="str">
        <f aca="false">IF(A387="","",IF(B387="","Missing code",IF(C387="Unknown code","Unknown code",IF(COUNTIF($A$6:$A$505,A387)&gt;1,"Duplicate WO",""))))</f>
        <v/>
      </c>
    </row>
    <row r="388" customFormat="false" ht="15" hidden="false" customHeight="false" outlineLevel="0" collapsed="false">
      <c r="A388" s="46"/>
      <c r="B388" s="46"/>
      <c r="C388" s="53" t="str">
        <f aca="false">IF(B388="","",IFERROR(INDEX('Kitting Plan'!$D$5:$D$18,MATCH(B388,'Kitting Plan'!$C$5:$C$18,0)),"Unknown code"))</f>
        <v/>
      </c>
      <c r="D388" s="53" t="str">
        <f aca="false">IF(B388="","",IFERROR(INDEX('Kitting Plan'!$B$5:$B$18,MATCH(B388,'Kitting Plan'!$C$5:$C$18,0)),""))</f>
        <v/>
      </c>
      <c r="E388" s="45"/>
      <c r="F388" s="54" t="str">
        <f aca="false">IF(B388="","",IFERROR(IF(OR(E388="",E388="All"),INDEX('Kitting Plan'!$E$5:$E$18,MATCH(B388,'Kitting Plan'!$C$5:$C$18,0)),INDEX('Kitting Plan'!$H$5:$H$18,MATCH(B388,'Kitting Plan'!$C$5:$C$18,0))),""))</f>
        <v/>
      </c>
      <c r="G388" s="45"/>
      <c r="H388" s="55" t="str">
        <f aca="false">IF(B388="","",IF(G388="",F388,G388))</f>
        <v/>
      </c>
      <c r="I388" s="45"/>
      <c r="J388" s="56"/>
      <c r="K388" s="46"/>
      <c r="L388" s="53" t="str">
        <f aca="false">IF(A388="","",IF(B388="","Missing code",IF(C388="Unknown code","Unknown code",IF(COUNTIF($A$6:$A$505,A388)&gt;1,"Duplicate WO",""))))</f>
        <v/>
      </c>
    </row>
    <row r="389" customFormat="false" ht="15" hidden="false" customHeight="false" outlineLevel="0" collapsed="false">
      <c r="A389" s="46"/>
      <c r="B389" s="46"/>
      <c r="C389" s="53" t="str">
        <f aca="false">IF(B389="","",IFERROR(INDEX('Kitting Plan'!$D$5:$D$18,MATCH(B389,'Kitting Plan'!$C$5:$C$18,0)),"Unknown code"))</f>
        <v/>
      </c>
      <c r="D389" s="53" t="str">
        <f aca="false">IF(B389="","",IFERROR(INDEX('Kitting Plan'!$B$5:$B$18,MATCH(B389,'Kitting Plan'!$C$5:$C$18,0)),""))</f>
        <v/>
      </c>
      <c r="E389" s="45"/>
      <c r="F389" s="54" t="str">
        <f aca="false">IF(B389="","",IFERROR(IF(OR(E389="",E389="All"),INDEX('Kitting Plan'!$E$5:$E$18,MATCH(B389,'Kitting Plan'!$C$5:$C$18,0)),INDEX('Kitting Plan'!$H$5:$H$18,MATCH(B389,'Kitting Plan'!$C$5:$C$18,0))),""))</f>
        <v/>
      </c>
      <c r="G389" s="45"/>
      <c r="H389" s="55" t="str">
        <f aca="false">IF(B389="","",IF(G389="",F389,G389))</f>
        <v/>
      </c>
      <c r="I389" s="45"/>
      <c r="J389" s="56"/>
      <c r="K389" s="46"/>
      <c r="L389" s="53" t="str">
        <f aca="false">IF(A389="","",IF(B389="","Missing code",IF(C389="Unknown code","Unknown code",IF(COUNTIF($A$6:$A$505,A389)&gt;1,"Duplicate WO",""))))</f>
        <v/>
      </c>
    </row>
    <row r="390" customFormat="false" ht="15" hidden="false" customHeight="false" outlineLevel="0" collapsed="false">
      <c r="A390" s="46"/>
      <c r="B390" s="46"/>
      <c r="C390" s="53" t="str">
        <f aca="false">IF(B390="","",IFERROR(INDEX('Kitting Plan'!$D$5:$D$18,MATCH(B390,'Kitting Plan'!$C$5:$C$18,0)),"Unknown code"))</f>
        <v/>
      </c>
      <c r="D390" s="53" t="str">
        <f aca="false">IF(B390="","",IFERROR(INDEX('Kitting Plan'!$B$5:$B$18,MATCH(B390,'Kitting Plan'!$C$5:$C$18,0)),""))</f>
        <v/>
      </c>
      <c r="E390" s="45"/>
      <c r="F390" s="54" t="str">
        <f aca="false">IF(B390="","",IFERROR(IF(OR(E390="",E390="All"),INDEX('Kitting Plan'!$E$5:$E$18,MATCH(B390,'Kitting Plan'!$C$5:$C$18,0)),INDEX('Kitting Plan'!$H$5:$H$18,MATCH(B390,'Kitting Plan'!$C$5:$C$18,0))),""))</f>
        <v/>
      </c>
      <c r="G390" s="45"/>
      <c r="H390" s="55" t="str">
        <f aca="false">IF(B390="","",IF(G390="",F390,G390))</f>
        <v/>
      </c>
      <c r="I390" s="45"/>
      <c r="J390" s="56"/>
      <c r="K390" s="46"/>
      <c r="L390" s="53" t="str">
        <f aca="false">IF(A390="","",IF(B390="","Missing code",IF(C390="Unknown code","Unknown code",IF(COUNTIF($A$6:$A$505,A390)&gt;1,"Duplicate WO",""))))</f>
        <v/>
      </c>
    </row>
    <row r="391" customFormat="false" ht="15" hidden="false" customHeight="false" outlineLevel="0" collapsed="false">
      <c r="A391" s="46"/>
      <c r="B391" s="46"/>
      <c r="C391" s="53" t="str">
        <f aca="false">IF(B391="","",IFERROR(INDEX('Kitting Plan'!$D$5:$D$18,MATCH(B391,'Kitting Plan'!$C$5:$C$18,0)),"Unknown code"))</f>
        <v/>
      </c>
      <c r="D391" s="53" t="str">
        <f aca="false">IF(B391="","",IFERROR(INDEX('Kitting Plan'!$B$5:$B$18,MATCH(B391,'Kitting Plan'!$C$5:$C$18,0)),""))</f>
        <v/>
      </c>
      <c r="E391" s="45"/>
      <c r="F391" s="54" t="str">
        <f aca="false">IF(B391="","",IFERROR(IF(OR(E391="",E391="All"),INDEX('Kitting Plan'!$E$5:$E$18,MATCH(B391,'Kitting Plan'!$C$5:$C$18,0)),INDEX('Kitting Plan'!$H$5:$H$18,MATCH(B391,'Kitting Plan'!$C$5:$C$18,0))),""))</f>
        <v/>
      </c>
      <c r="G391" s="45"/>
      <c r="H391" s="55" t="str">
        <f aca="false">IF(B391="","",IF(G391="",F391,G391))</f>
        <v/>
      </c>
      <c r="I391" s="45"/>
      <c r="J391" s="56"/>
      <c r="K391" s="46"/>
      <c r="L391" s="53" t="str">
        <f aca="false">IF(A391="","",IF(B391="","Missing code",IF(C391="Unknown code","Unknown code",IF(COUNTIF($A$6:$A$505,A391)&gt;1,"Duplicate WO",""))))</f>
        <v/>
      </c>
    </row>
    <row r="392" customFormat="false" ht="15" hidden="false" customHeight="false" outlineLevel="0" collapsed="false">
      <c r="A392" s="46"/>
      <c r="B392" s="46"/>
      <c r="C392" s="53" t="str">
        <f aca="false">IF(B392="","",IFERROR(INDEX('Kitting Plan'!$D$5:$D$18,MATCH(B392,'Kitting Plan'!$C$5:$C$18,0)),"Unknown code"))</f>
        <v/>
      </c>
      <c r="D392" s="53" t="str">
        <f aca="false">IF(B392="","",IFERROR(INDEX('Kitting Plan'!$B$5:$B$18,MATCH(B392,'Kitting Plan'!$C$5:$C$18,0)),""))</f>
        <v/>
      </c>
      <c r="E392" s="45"/>
      <c r="F392" s="54" t="str">
        <f aca="false">IF(B392="","",IFERROR(IF(OR(E392="",E392="All"),INDEX('Kitting Plan'!$E$5:$E$18,MATCH(B392,'Kitting Plan'!$C$5:$C$18,0)),INDEX('Kitting Plan'!$H$5:$H$18,MATCH(B392,'Kitting Plan'!$C$5:$C$18,0))),""))</f>
        <v/>
      </c>
      <c r="G392" s="45"/>
      <c r="H392" s="55" t="str">
        <f aca="false">IF(B392="","",IF(G392="",F392,G392))</f>
        <v/>
      </c>
      <c r="I392" s="45"/>
      <c r="J392" s="56"/>
      <c r="K392" s="46"/>
      <c r="L392" s="53" t="str">
        <f aca="false">IF(A392="","",IF(B392="","Missing code",IF(C392="Unknown code","Unknown code",IF(COUNTIF($A$6:$A$505,A392)&gt;1,"Duplicate WO",""))))</f>
        <v/>
      </c>
    </row>
    <row r="393" customFormat="false" ht="15" hidden="false" customHeight="false" outlineLevel="0" collapsed="false">
      <c r="A393" s="46"/>
      <c r="B393" s="46"/>
      <c r="C393" s="53" t="str">
        <f aca="false">IF(B393="","",IFERROR(INDEX('Kitting Plan'!$D$5:$D$18,MATCH(B393,'Kitting Plan'!$C$5:$C$18,0)),"Unknown code"))</f>
        <v/>
      </c>
      <c r="D393" s="53" t="str">
        <f aca="false">IF(B393="","",IFERROR(INDEX('Kitting Plan'!$B$5:$B$18,MATCH(B393,'Kitting Plan'!$C$5:$C$18,0)),""))</f>
        <v/>
      </c>
      <c r="E393" s="45"/>
      <c r="F393" s="54" t="str">
        <f aca="false">IF(B393="","",IFERROR(IF(OR(E393="",E393="All"),INDEX('Kitting Plan'!$E$5:$E$18,MATCH(B393,'Kitting Plan'!$C$5:$C$18,0)),INDEX('Kitting Plan'!$H$5:$H$18,MATCH(B393,'Kitting Plan'!$C$5:$C$18,0))),""))</f>
        <v/>
      </c>
      <c r="G393" s="45"/>
      <c r="H393" s="55" t="str">
        <f aca="false">IF(B393="","",IF(G393="",F393,G393))</f>
        <v/>
      </c>
      <c r="I393" s="45"/>
      <c r="J393" s="56"/>
      <c r="K393" s="46"/>
      <c r="L393" s="53" t="str">
        <f aca="false">IF(A393="","",IF(B393="","Missing code",IF(C393="Unknown code","Unknown code",IF(COUNTIF($A$6:$A$505,A393)&gt;1,"Duplicate WO",""))))</f>
        <v/>
      </c>
    </row>
    <row r="394" customFormat="false" ht="15" hidden="false" customHeight="false" outlineLevel="0" collapsed="false">
      <c r="A394" s="46"/>
      <c r="B394" s="46"/>
      <c r="C394" s="53" t="str">
        <f aca="false">IF(B394="","",IFERROR(INDEX('Kitting Plan'!$D$5:$D$18,MATCH(B394,'Kitting Plan'!$C$5:$C$18,0)),"Unknown code"))</f>
        <v/>
      </c>
      <c r="D394" s="53" t="str">
        <f aca="false">IF(B394="","",IFERROR(INDEX('Kitting Plan'!$B$5:$B$18,MATCH(B394,'Kitting Plan'!$C$5:$C$18,0)),""))</f>
        <v/>
      </c>
      <c r="E394" s="45"/>
      <c r="F394" s="54" t="str">
        <f aca="false">IF(B394="","",IFERROR(IF(OR(E394="",E394="All"),INDEX('Kitting Plan'!$E$5:$E$18,MATCH(B394,'Kitting Plan'!$C$5:$C$18,0)),INDEX('Kitting Plan'!$H$5:$H$18,MATCH(B394,'Kitting Plan'!$C$5:$C$18,0))),""))</f>
        <v/>
      </c>
      <c r="G394" s="45"/>
      <c r="H394" s="55" t="str">
        <f aca="false">IF(B394="","",IF(G394="",F394,G394))</f>
        <v/>
      </c>
      <c r="I394" s="45"/>
      <c r="J394" s="56"/>
      <c r="K394" s="46"/>
      <c r="L394" s="53" t="str">
        <f aca="false">IF(A394="","",IF(B394="","Missing code",IF(C394="Unknown code","Unknown code",IF(COUNTIF($A$6:$A$505,A394)&gt;1,"Duplicate WO",""))))</f>
        <v/>
      </c>
    </row>
    <row r="395" customFormat="false" ht="15" hidden="false" customHeight="false" outlineLevel="0" collapsed="false">
      <c r="A395" s="46"/>
      <c r="B395" s="46"/>
      <c r="C395" s="53" t="str">
        <f aca="false">IF(B395="","",IFERROR(INDEX('Kitting Plan'!$D$5:$D$18,MATCH(B395,'Kitting Plan'!$C$5:$C$18,0)),"Unknown code"))</f>
        <v/>
      </c>
      <c r="D395" s="53" t="str">
        <f aca="false">IF(B395="","",IFERROR(INDEX('Kitting Plan'!$B$5:$B$18,MATCH(B395,'Kitting Plan'!$C$5:$C$18,0)),""))</f>
        <v/>
      </c>
      <c r="E395" s="45"/>
      <c r="F395" s="54" t="str">
        <f aca="false">IF(B395="","",IFERROR(IF(OR(E395="",E395="All"),INDEX('Kitting Plan'!$E$5:$E$18,MATCH(B395,'Kitting Plan'!$C$5:$C$18,0)),INDEX('Kitting Plan'!$H$5:$H$18,MATCH(B395,'Kitting Plan'!$C$5:$C$18,0))),""))</f>
        <v/>
      </c>
      <c r="G395" s="45"/>
      <c r="H395" s="55" t="str">
        <f aca="false">IF(B395="","",IF(G395="",F395,G395))</f>
        <v/>
      </c>
      <c r="I395" s="45"/>
      <c r="J395" s="56"/>
      <c r="K395" s="46"/>
      <c r="L395" s="53" t="str">
        <f aca="false">IF(A395="","",IF(B395="","Missing code",IF(C395="Unknown code","Unknown code",IF(COUNTIF($A$6:$A$505,A395)&gt;1,"Duplicate WO",""))))</f>
        <v/>
      </c>
    </row>
    <row r="396" customFormat="false" ht="15" hidden="false" customHeight="false" outlineLevel="0" collapsed="false">
      <c r="A396" s="46"/>
      <c r="B396" s="46"/>
      <c r="C396" s="53" t="str">
        <f aca="false">IF(B396="","",IFERROR(INDEX('Kitting Plan'!$D$5:$D$18,MATCH(B396,'Kitting Plan'!$C$5:$C$18,0)),"Unknown code"))</f>
        <v/>
      </c>
      <c r="D396" s="53" t="str">
        <f aca="false">IF(B396="","",IFERROR(INDEX('Kitting Plan'!$B$5:$B$18,MATCH(B396,'Kitting Plan'!$C$5:$C$18,0)),""))</f>
        <v/>
      </c>
      <c r="E396" s="45"/>
      <c r="F396" s="54" t="str">
        <f aca="false">IF(B396="","",IFERROR(IF(OR(E396="",E396="All"),INDEX('Kitting Plan'!$E$5:$E$18,MATCH(B396,'Kitting Plan'!$C$5:$C$18,0)),INDEX('Kitting Plan'!$H$5:$H$18,MATCH(B396,'Kitting Plan'!$C$5:$C$18,0))),""))</f>
        <v/>
      </c>
      <c r="G396" s="45"/>
      <c r="H396" s="55" t="str">
        <f aca="false">IF(B396="","",IF(G396="",F396,G396))</f>
        <v/>
      </c>
      <c r="I396" s="45"/>
      <c r="J396" s="56"/>
      <c r="K396" s="46"/>
      <c r="L396" s="53" t="str">
        <f aca="false">IF(A396="","",IF(B396="","Missing code",IF(C396="Unknown code","Unknown code",IF(COUNTIF($A$6:$A$505,A396)&gt;1,"Duplicate WO",""))))</f>
        <v/>
      </c>
    </row>
    <row r="397" customFormat="false" ht="15" hidden="false" customHeight="false" outlineLevel="0" collapsed="false">
      <c r="A397" s="46"/>
      <c r="B397" s="46"/>
      <c r="C397" s="53" t="str">
        <f aca="false">IF(B397="","",IFERROR(INDEX('Kitting Plan'!$D$5:$D$18,MATCH(B397,'Kitting Plan'!$C$5:$C$18,0)),"Unknown code"))</f>
        <v/>
      </c>
      <c r="D397" s="53" t="str">
        <f aca="false">IF(B397="","",IFERROR(INDEX('Kitting Plan'!$B$5:$B$18,MATCH(B397,'Kitting Plan'!$C$5:$C$18,0)),""))</f>
        <v/>
      </c>
      <c r="E397" s="45"/>
      <c r="F397" s="54" t="str">
        <f aca="false">IF(B397="","",IFERROR(IF(OR(E397="",E397="All"),INDEX('Kitting Plan'!$E$5:$E$18,MATCH(B397,'Kitting Plan'!$C$5:$C$18,0)),INDEX('Kitting Plan'!$H$5:$H$18,MATCH(B397,'Kitting Plan'!$C$5:$C$18,0))),""))</f>
        <v/>
      </c>
      <c r="G397" s="45"/>
      <c r="H397" s="55" t="str">
        <f aca="false">IF(B397="","",IF(G397="",F397,G397))</f>
        <v/>
      </c>
      <c r="I397" s="45"/>
      <c r="J397" s="56"/>
      <c r="K397" s="46"/>
      <c r="L397" s="53" t="str">
        <f aca="false">IF(A397="","",IF(B397="","Missing code",IF(C397="Unknown code","Unknown code",IF(COUNTIF($A$6:$A$505,A397)&gt;1,"Duplicate WO",""))))</f>
        <v/>
      </c>
    </row>
    <row r="398" customFormat="false" ht="15" hidden="false" customHeight="false" outlineLevel="0" collapsed="false">
      <c r="A398" s="46"/>
      <c r="B398" s="46"/>
      <c r="C398" s="53" t="str">
        <f aca="false">IF(B398="","",IFERROR(INDEX('Kitting Plan'!$D$5:$D$18,MATCH(B398,'Kitting Plan'!$C$5:$C$18,0)),"Unknown code"))</f>
        <v/>
      </c>
      <c r="D398" s="53" t="str">
        <f aca="false">IF(B398="","",IFERROR(INDEX('Kitting Plan'!$B$5:$B$18,MATCH(B398,'Kitting Plan'!$C$5:$C$18,0)),""))</f>
        <v/>
      </c>
      <c r="E398" s="45"/>
      <c r="F398" s="54" t="str">
        <f aca="false">IF(B398="","",IFERROR(IF(OR(E398="",E398="All"),INDEX('Kitting Plan'!$E$5:$E$18,MATCH(B398,'Kitting Plan'!$C$5:$C$18,0)),INDEX('Kitting Plan'!$H$5:$H$18,MATCH(B398,'Kitting Plan'!$C$5:$C$18,0))),""))</f>
        <v/>
      </c>
      <c r="G398" s="45"/>
      <c r="H398" s="55" t="str">
        <f aca="false">IF(B398="","",IF(G398="",F398,G398))</f>
        <v/>
      </c>
      <c r="I398" s="45"/>
      <c r="J398" s="56"/>
      <c r="K398" s="46"/>
      <c r="L398" s="53" t="str">
        <f aca="false">IF(A398="","",IF(B398="","Missing code",IF(C398="Unknown code","Unknown code",IF(COUNTIF($A$6:$A$505,A398)&gt;1,"Duplicate WO",""))))</f>
        <v/>
      </c>
    </row>
    <row r="399" customFormat="false" ht="15" hidden="false" customHeight="false" outlineLevel="0" collapsed="false">
      <c r="A399" s="46"/>
      <c r="B399" s="46"/>
      <c r="C399" s="53" t="str">
        <f aca="false">IF(B399="","",IFERROR(INDEX('Kitting Plan'!$D$5:$D$18,MATCH(B399,'Kitting Plan'!$C$5:$C$18,0)),"Unknown code"))</f>
        <v/>
      </c>
      <c r="D399" s="53" t="str">
        <f aca="false">IF(B399="","",IFERROR(INDEX('Kitting Plan'!$B$5:$B$18,MATCH(B399,'Kitting Plan'!$C$5:$C$18,0)),""))</f>
        <v/>
      </c>
      <c r="E399" s="45"/>
      <c r="F399" s="54" t="str">
        <f aca="false">IF(B399="","",IFERROR(IF(OR(E399="",E399="All"),INDEX('Kitting Plan'!$E$5:$E$18,MATCH(B399,'Kitting Plan'!$C$5:$C$18,0)),INDEX('Kitting Plan'!$H$5:$H$18,MATCH(B399,'Kitting Plan'!$C$5:$C$18,0))),""))</f>
        <v/>
      </c>
      <c r="G399" s="45"/>
      <c r="H399" s="55" t="str">
        <f aca="false">IF(B399="","",IF(G399="",F399,G399))</f>
        <v/>
      </c>
      <c r="I399" s="45"/>
      <c r="J399" s="56"/>
      <c r="K399" s="46"/>
      <c r="L399" s="53" t="str">
        <f aca="false">IF(A399="","",IF(B399="","Missing code",IF(C399="Unknown code","Unknown code",IF(COUNTIF($A$6:$A$505,A399)&gt;1,"Duplicate WO",""))))</f>
        <v/>
      </c>
    </row>
    <row r="400" customFormat="false" ht="15" hidden="false" customHeight="false" outlineLevel="0" collapsed="false">
      <c r="A400" s="46"/>
      <c r="B400" s="46"/>
      <c r="C400" s="53" t="str">
        <f aca="false">IF(B400="","",IFERROR(INDEX('Kitting Plan'!$D$5:$D$18,MATCH(B400,'Kitting Plan'!$C$5:$C$18,0)),"Unknown code"))</f>
        <v/>
      </c>
      <c r="D400" s="53" t="str">
        <f aca="false">IF(B400="","",IFERROR(INDEX('Kitting Plan'!$B$5:$B$18,MATCH(B400,'Kitting Plan'!$C$5:$C$18,0)),""))</f>
        <v/>
      </c>
      <c r="E400" s="45"/>
      <c r="F400" s="54" t="str">
        <f aca="false">IF(B400="","",IFERROR(IF(OR(E400="",E400="All"),INDEX('Kitting Plan'!$E$5:$E$18,MATCH(B400,'Kitting Plan'!$C$5:$C$18,0)),INDEX('Kitting Plan'!$H$5:$H$18,MATCH(B400,'Kitting Plan'!$C$5:$C$18,0))),""))</f>
        <v/>
      </c>
      <c r="G400" s="45"/>
      <c r="H400" s="55" t="str">
        <f aca="false">IF(B400="","",IF(G400="",F400,G400))</f>
        <v/>
      </c>
      <c r="I400" s="45"/>
      <c r="J400" s="56"/>
      <c r="K400" s="46"/>
      <c r="L400" s="53" t="str">
        <f aca="false">IF(A400="","",IF(B400="","Missing code",IF(C400="Unknown code","Unknown code",IF(COUNTIF($A$6:$A$505,A400)&gt;1,"Duplicate WO",""))))</f>
        <v/>
      </c>
    </row>
    <row r="401" customFormat="false" ht="15" hidden="false" customHeight="false" outlineLevel="0" collapsed="false">
      <c r="A401" s="46"/>
      <c r="B401" s="46"/>
      <c r="C401" s="53" t="str">
        <f aca="false">IF(B401="","",IFERROR(INDEX('Kitting Plan'!$D$5:$D$18,MATCH(B401,'Kitting Plan'!$C$5:$C$18,0)),"Unknown code"))</f>
        <v/>
      </c>
      <c r="D401" s="53" t="str">
        <f aca="false">IF(B401="","",IFERROR(INDEX('Kitting Plan'!$B$5:$B$18,MATCH(B401,'Kitting Plan'!$C$5:$C$18,0)),""))</f>
        <v/>
      </c>
      <c r="E401" s="45"/>
      <c r="F401" s="54" t="str">
        <f aca="false">IF(B401="","",IFERROR(IF(OR(E401="",E401="All"),INDEX('Kitting Plan'!$E$5:$E$18,MATCH(B401,'Kitting Plan'!$C$5:$C$18,0)),INDEX('Kitting Plan'!$H$5:$H$18,MATCH(B401,'Kitting Plan'!$C$5:$C$18,0))),""))</f>
        <v/>
      </c>
      <c r="G401" s="45"/>
      <c r="H401" s="55" t="str">
        <f aca="false">IF(B401="","",IF(G401="",F401,G401))</f>
        <v/>
      </c>
      <c r="I401" s="45"/>
      <c r="J401" s="56"/>
      <c r="K401" s="46"/>
      <c r="L401" s="53" t="str">
        <f aca="false">IF(A401="","",IF(B401="","Missing code",IF(C401="Unknown code","Unknown code",IF(COUNTIF($A$6:$A$505,A401)&gt;1,"Duplicate WO",""))))</f>
        <v/>
      </c>
    </row>
    <row r="402" customFormat="false" ht="15" hidden="false" customHeight="false" outlineLevel="0" collapsed="false">
      <c r="A402" s="46"/>
      <c r="B402" s="46"/>
      <c r="C402" s="53" t="str">
        <f aca="false">IF(B402="","",IFERROR(INDEX('Kitting Plan'!$D$5:$D$18,MATCH(B402,'Kitting Plan'!$C$5:$C$18,0)),"Unknown code"))</f>
        <v/>
      </c>
      <c r="D402" s="53" t="str">
        <f aca="false">IF(B402="","",IFERROR(INDEX('Kitting Plan'!$B$5:$B$18,MATCH(B402,'Kitting Plan'!$C$5:$C$18,0)),""))</f>
        <v/>
      </c>
      <c r="E402" s="45"/>
      <c r="F402" s="54" t="str">
        <f aca="false">IF(B402="","",IFERROR(IF(OR(E402="",E402="All"),INDEX('Kitting Plan'!$E$5:$E$18,MATCH(B402,'Kitting Plan'!$C$5:$C$18,0)),INDEX('Kitting Plan'!$H$5:$H$18,MATCH(B402,'Kitting Plan'!$C$5:$C$18,0))),""))</f>
        <v/>
      </c>
      <c r="G402" s="45"/>
      <c r="H402" s="55" t="str">
        <f aca="false">IF(B402="","",IF(G402="",F402,G402))</f>
        <v/>
      </c>
      <c r="I402" s="45"/>
      <c r="J402" s="56"/>
      <c r="K402" s="46"/>
      <c r="L402" s="53" t="str">
        <f aca="false">IF(A402="","",IF(B402="","Missing code",IF(C402="Unknown code","Unknown code",IF(COUNTIF($A$6:$A$505,A402)&gt;1,"Duplicate WO",""))))</f>
        <v/>
      </c>
    </row>
    <row r="403" customFormat="false" ht="15" hidden="false" customHeight="false" outlineLevel="0" collapsed="false">
      <c r="A403" s="46"/>
      <c r="B403" s="46"/>
      <c r="C403" s="53" t="str">
        <f aca="false">IF(B403="","",IFERROR(INDEX('Kitting Plan'!$D$5:$D$18,MATCH(B403,'Kitting Plan'!$C$5:$C$18,0)),"Unknown code"))</f>
        <v/>
      </c>
      <c r="D403" s="53" t="str">
        <f aca="false">IF(B403="","",IFERROR(INDEX('Kitting Plan'!$B$5:$B$18,MATCH(B403,'Kitting Plan'!$C$5:$C$18,0)),""))</f>
        <v/>
      </c>
      <c r="E403" s="45"/>
      <c r="F403" s="54" t="str">
        <f aca="false">IF(B403="","",IFERROR(IF(OR(E403="",E403="All"),INDEX('Kitting Plan'!$E$5:$E$18,MATCH(B403,'Kitting Plan'!$C$5:$C$18,0)),INDEX('Kitting Plan'!$H$5:$H$18,MATCH(B403,'Kitting Plan'!$C$5:$C$18,0))),""))</f>
        <v/>
      </c>
      <c r="G403" s="45"/>
      <c r="H403" s="55" t="str">
        <f aca="false">IF(B403="","",IF(G403="",F403,G403))</f>
        <v/>
      </c>
      <c r="I403" s="45"/>
      <c r="J403" s="56"/>
      <c r="K403" s="46"/>
      <c r="L403" s="53" t="str">
        <f aca="false">IF(A403="","",IF(B403="","Missing code",IF(C403="Unknown code","Unknown code",IF(COUNTIF($A$6:$A$505,A403)&gt;1,"Duplicate WO",""))))</f>
        <v/>
      </c>
    </row>
    <row r="404" customFormat="false" ht="15" hidden="false" customHeight="false" outlineLevel="0" collapsed="false">
      <c r="A404" s="46"/>
      <c r="B404" s="46"/>
      <c r="C404" s="53" t="str">
        <f aca="false">IF(B404="","",IFERROR(INDEX('Kitting Plan'!$D$5:$D$18,MATCH(B404,'Kitting Plan'!$C$5:$C$18,0)),"Unknown code"))</f>
        <v/>
      </c>
      <c r="D404" s="53" t="str">
        <f aca="false">IF(B404="","",IFERROR(INDEX('Kitting Plan'!$B$5:$B$18,MATCH(B404,'Kitting Plan'!$C$5:$C$18,0)),""))</f>
        <v/>
      </c>
      <c r="E404" s="45"/>
      <c r="F404" s="54" t="str">
        <f aca="false">IF(B404="","",IFERROR(IF(OR(E404="",E404="All"),INDEX('Kitting Plan'!$E$5:$E$18,MATCH(B404,'Kitting Plan'!$C$5:$C$18,0)),INDEX('Kitting Plan'!$H$5:$H$18,MATCH(B404,'Kitting Plan'!$C$5:$C$18,0))),""))</f>
        <v/>
      </c>
      <c r="G404" s="45"/>
      <c r="H404" s="55" t="str">
        <f aca="false">IF(B404="","",IF(G404="",F404,G404))</f>
        <v/>
      </c>
      <c r="I404" s="45"/>
      <c r="J404" s="56"/>
      <c r="K404" s="46"/>
      <c r="L404" s="53" t="str">
        <f aca="false">IF(A404="","",IF(B404="","Missing code",IF(C404="Unknown code","Unknown code",IF(COUNTIF($A$6:$A$505,A404)&gt;1,"Duplicate WO",""))))</f>
        <v/>
      </c>
    </row>
    <row r="405" customFormat="false" ht="15" hidden="false" customHeight="false" outlineLevel="0" collapsed="false">
      <c r="A405" s="46"/>
      <c r="B405" s="46"/>
      <c r="C405" s="53" t="str">
        <f aca="false">IF(B405="","",IFERROR(INDEX('Kitting Plan'!$D$5:$D$18,MATCH(B405,'Kitting Plan'!$C$5:$C$18,0)),"Unknown code"))</f>
        <v/>
      </c>
      <c r="D405" s="53" t="str">
        <f aca="false">IF(B405="","",IFERROR(INDEX('Kitting Plan'!$B$5:$B$18,MATCH(B405,'Kitting Plan'!$C$5:$C$18,0)),""))</f>
        <v/>
      </c>
      <c r="E405" s="45"/>
      <c r="F405" s="54" t="str">
        <f aca="false">IF(B405="","",IFERROR(IF(OR(E405="",E405="All"),INDEX('Kitting Plan'!$E$5:$E$18,MATCH(B405,'Kitting Plan'!$C$5:$C$18,0)),INDEX('Kitting Plan'!$H$5:$H$18,MATCH(B405,'Kitting Plan'!$C$5:$C$18,0))),""))</f>
        <v/>
      </c>
      <c r="G405" s="45"/>
      <c r="H405" s="55" t="str">
        <f aca="false">IF(B405="","",IF(G405="",F405,G405))</f>
        <v/>
      </c>
      <c r="I405" s="45"/>
      <c r="J405" s="56"/>
      <c r="K405" s="46"/>
      <c r="L405" s="53" t="str">
        <f aca="false">IF(A405="","",IF(B405="","Missing code",IF(C405="Unknown code","Unknown code",IF(COUNTIF($A$6:$A$505,A405)&gt;1,"Duplicate WO",""))))</f>
        <v/>
      </c>
    </row>
    <row r="406" customFormat="false" ht="15" hidden="false" customHeight="false" outlineLevel="0" collapsed="false">
      <c r="A406" s="46"/>
      <c r="B406" s="46"/>
      <c r="C406" s="53" t="str">
        <f aca="false">IF(B406="","",IFERROR(INDEX('Kitting Plan'!$D$5:$D$18,MATCH(B406,'Kitting Plan'!$C$5:$C$18,0)),"Unknown code"))</f>
        <v/>
      </c>
      <c r="D406" s="53" t="str">
        <f aca="false">IF(B406="","",IFERROR(INDEX('Kitting Plan'!$B$5:$B$18,MATCH(B406,'Kitting Plan'!$C$5:$C$18,0)),""))</f>
        <v/>
      </c>
      <c r="E406" s="45"/>
      <c r="F406" s="54" t="str">
        <f aca="false">IF(B406="","",IFERROR(IF(OR(E406="",E406="All"),INDEX('Kitting Plan'!$E$5:$E$18,MATCH(B406,'Kitting Plan'!$C$5:$C$18,0)),INDEX('Kitting Plan'!$H$5:$H$18,MATCH(B406,'Kitting Plan'!$C$5:$C$18,0))),""))</f>
        <v/>
      </c>
      <c r="G406" s="45"/>
      <c r="H406" s="55" t="str">
        <f aca="false">IF(B406="","",IF(G406="",F406,G406))</f>
        <v/>
      </c>
      <c r="I406" s="45"/>
      <c r="J406" s="56"/>
      <c r="K406" s="46"/>
      <c r="L406" s="53" t="str">
        <f aca="false">IF(A406="","",IF(B406="","Missing code",IF(C406="Unknown code","Unknown code",IF(COUNTIF($A$6:$A$505,A406)&gt;1,"Duplicate WO",""))))</f>
        <v/>
      </c>
    </row>
    <row r="407" customFormat="false" ht="15" hidden="false" customHeight="false" outlineLevel="0" collapsed="false">
      <c r="A407" s="46"/>
      <c r="B407" s="46"/>
      <c r="C407" s="53" t="str">
        <f aca="false">IF(B407="","",IFERROR(INDEX('Kitting Plan'!$D$5:$D$18,MATCH(B407,'Kitting Plan'!$C$5:$C$18,0)),"Unknown code"))</f>
        <v/>
      </c>
      <c r="D407" s="53" t="str">
        <f aca="false">IF(B407="","",IFERROR(INDEX('Kitting Plan'!$B$5:$B$18,MATCH(B407,'Kitting Plan'!$C$5:$C$18,0)),""))</f>
        <v/>
      </c>
      <c r="E407" s="45"/>
      <c r="F407" s="54" t="str">
        <f aca="false">IF(B407="","",IFERROR(IF(OR(E407="",E407="All"),INDEX('Kitting Plan'!$E$5:$E$18,MATCH(B407,'Kitting Plan'!$C$5:$C$18,0)),INDEX('Kitting Plan'!$H$5:$H$18,MATCH(B407,'Kitting Plan'!$C$5:$C$18,0))),""))</f>
        <v/>
      </c>
      <c r="G407" s="45"/>
      <c r="H407" s="55" t="str">
        <f aca="false">IF(B407="","",IF(G407="",F407,G407))</f>
        <v/>
      </c>
      <c r="I407" s="45"/>
      <c r="J407" s="56"/>
      <c r="K407" s="46"/>
      <c r="L407" s="53" t="str">
        <f aca="false">IF(A407="","",IF(B407="","Missing code",IF(C407="Unknown code","Unknown code",IF(COUNTIF($A$6:$A$505,A407)&gt;1,"Duplicate WO",""))))</f>
        <v/>
      </c>
    </row>
    <row r="408" customFormat="false" ht="15" hidden="false" customHeight="false" outlineLevel="0" collapsed="false">
      <c r="A408" s="46"/>
      <c r="B408" s="46"/>
      <c r="C408" s="53" t="str">
        <f aca="false">IF(B408="","",IFERROR(INDEX('Kitting Plan'!$D$5:$D$18,MATCH(B408,'Kitting Plan'!$C$5:$C$18,0)),"Unknown code"))</f>
        <v/>
      </c>
      <c r="D408" s="53" t="str">
        <f aca="false">IF(B408="","",IFERROR(INDEX('Kitting Plan'!$B$5:$B$18,MATCH(B408,'Kitting Plan'!$C$5:$C$18,0)),""))</f>
        <v/>
      </c>
      <c r="E408" s="45"/>
      <c r="F408" s="54" t="str">
        <f aca="false">IF(B408="","",IFERROR(IF(OR(E408="",E408="All"),INDEX('Kitting Plan'!$E$5:$E$18,MATCH(B408,'Kitting Plan'!$C$5:$C$18,0)),INDEX('Kitting Plan'!$H$5:$H$18,MATCH(B408,'Kitting Plan'!$C$5:$C$18,0))),""))</f>
        <v/>
      </c>
      <c r="G408" s="45"/>
      <c r="H408" s="55" t="str">
        <f aca="false">IF(B408="","",IF(G408="",F408,G408))</f>
        <v/>
      </c>
      <c r="I408" s="45"/>
      <c r="J408" s="56"/>
      <c r="K408" s="46"/>
      <c r="L408" s="53" t="str">
        <f aca="false">IF(A408="","",IF(B408="","Missing code",IF(C408="Unknown code","Unknown code",IF(COUNTIF($A$6:$A$505,A408)&gt;1,"Duplicate WO",""))))</f>
        <v/>
      </c>
    </row>
    <row r="409" customFormat="false" ht="15" hidden="false" customHeight="false" outlineLevel="0" collapsed="false">
      <c r="A409" s="46"/>
      <c r="B409" s="46"/>
      <c r="C409" s="53" t="str">
        <f aca="false">IF(B409="","",IFERROR(INDEX('Kitting Plan'!$D$5:$D$18,MATCH(B409,'Kitting Plan'!$C$5:$C$18,0)),"Unknown code"))</f>
        <v/>
      </c>
      <c r="D409" s="53" t="str">
        <f aca="false">IF(B409="","",IFERROR(INDEX('Kitting Plan'!$B$5:$B$18,MATCH(B409,'Kitting Plan'!$C$5:$C$18,0)),""))</f>
        <v/>
      </c>
      <c r="E409" s="45"/>
      <c r="F409" s="54" t="str">
        <f aca="false">IF(B409="","",IFERROR(IF(OR(E409="",E409="All"),INDEX('Kitting Plan'!$E$5:$E$18,MATCH(B409,'Kitting Plan'!$C$5:$C$18,0)),INDEX('Kitting Plan'!$H$5:$H$18,MATCH(B409,'Kitting Plan'!$C$5:$C$18,0))),""))</f>
        <v/>
      </c>
      <c r="G409" s="45"/>
      <c r="H409" s="55" t="str">
        <f aca="false">IF(B409="","",IF(G409="",F409,G409))</f>
        <v/>
      </c>
      <c r="I409" s="45"/>
      <c r="J409" s="56"/>
      <c r="K409" s="46"/>
      <c r="L409" s="53" t="str">
        <f aca="false">IF(A409="","",IF(B409="","Missing code",IF(C409="Unknown code","Unknown code",IF(COUNTIF($A$6:$A$505,A409)&gt;1,"Duplicate WO",""))))</f>
        <v/>
      </c>
    </row>
    <row r="410" customFormat="false" ht="15" hidden="false" customHeight="false" outlineLevel="0" collapsed="false">
      <c r="A410" s="46"/>
      <c r="B410" s="46"/>
      <c r="C410" s="53" t="str">
        <f aca="false">IF(B410="","",IFERROR(INDEX('Kitting Plan'!$D$5:$D$18,MATCH(B410,'Kitting Plan'!$C$5:$C$18,0)),"Unknown code"))</f>
        <v/>
      </c>
      <c r="D410" s="53" t="str">
        <f aca="false">IF(B410="","",IFERROR(INDEX('Kitting Plan'!$B$5:$B$18,MATCH(B410,'Kitting Plan'!$C$5:$C$18,0)),""))</f>
        <v/>
      </c>
      <c r="E410" s="45"/>
      <c r="F410" s="54" t="str">
        <f aca="false">IF(B410="","",IFERROR(IF(OR(E410="",E410="All"),INDEX('Kitting Plan'!$E$5:$E$18,MATCH(B410,'Kitting Plan'!$C$5:$C$18,0)),INDEX('Kitting Plan'!$H$5:$H$18,MATCH(B410,'Kitting Plan'!$C$5:$C$18,0))),""))</f>
        <v/>
      </c>
      <c r="G410" s="45"/>
      <c r="H410" s="55" t="str">
        <f aca="false">IF(B410="","",IF(G410="",F410,G410))</f>
        <v/>
      </c>
      <c r="I410" s="45"/>
      <c r="J410" s="56"/>
      <c r="K410" s="46"/>
      <c r="L410" s="53" t="str">
        <f aca="false">IF(A410="","",IF(B410="","Missing code",IF(C410="Unknown code","Unknown code",IF(COUNTIF($A$6:$A$505,A410)&gt;1,"Duplicate WO",""))))</f>
        <v/>
      </c>
    </row>
    <row r="411" customFormat="false" ht="15" hidden="false" customHeight="false" outlineLevel="0" collapsed="false">
      <c r="A411" s="46"/>
      <c r="B411" s="46"/>
      <c r="C411" s="53" t="str">
        <f aca="false">IF(B411="","",IFERROR(INDEX('Kitting Plan'!$D$5:$D$18,MATCH(B411,'Kitting Plan'!$C$5:$C$18,0)),"Unknown code"))</f>
        <v/>
      </c>
      <c r="D411" s="53" t="str">
        <f aca="false">IF(B411="","",IFERROR(INDEX('Kitting Plan'!$B$5:$B$18,MATCH(B411,'Kitting Plan'!$C$5:$C$18,0)),""))</f>
        <v/>
      </c>
      <c r="E411" s="45"/>
      <c r="F411" s="54" t="str">
        <f aca="false">IF(B411="","",IFERROR(IF(OR(E411="",E411="All"),INDEX('Kitting Plan'!$E$5:$E$18,MATCH(B411,'Kitting Plan'!$C$5:$C$18,0)),INDEX('Kitting Plan'!$H$5:$H$18,MATCH(B411,'Kitting Plan'!$C$5:$C$18,0))),""))</f>
        <v/>
      </c>
      <c r="G411" s="45"/>
      <c r="H411" s="55" t="str">
        <f aca="false">IF(B411="","",IF(G411="",F411,G411))</f>
        <v/>
      </c>
      <c r="I411" s="45"/>
      <c r="J411" s="56"/>
      <c r="K411" s="46"/>
      <c r="L411" s="53" t="str">
        <f aca="false">IF(A411="","",IF(B411="","Missing code",IF(C411="Unknown code","Unknown code",IF(COUNTIF($A$6:$A$505,A411)&gt;1,"Duplicate WO",""))))</f>
        <v/>
      </c>
    </row>
    <row r="412" customFormat="false" ht="15" hidden="false" customHeight="false" outlineLevel="0" collapsed="false">
      <c r="A412" s="46"/>
      <c r="B412" s="46"/>
      <c r="C412" s="53" t="str">
        <f aca="false">IF(B412="","",IFERROR(INDEX('Kitting Plan'!$D$5:$D$18,MATCH(B412,'Kitting Plan'!$C$5:$C$18,0)),"Unknown code"))</f>
        <v/>
      </c>
      <c r="D412" s="53" t="str">
        <f aca="false">IF(B412="","",IFERROR(INDEX('Kitting Plan'!$B$5:$B$18,MATCH(B412,'Kitting Plan'!$C$5:$C$18,0)),""))</f>
        <v/>
      </c>
      <c r="E412" s="45"/>
      <c r="F412" s="54" t="str">
        <f aca="false">IF(B412="","",IFERROR(IF(OR(E412="",E412="All"),INDEX('Kitting Plan'!$E$5:$E$18,MATCH(B412,'Kitting Plan'!$C$5:$C$18,0)),INDEX('Kitting Plan'!$H$5:$H$18,MATCH(B412,'Kitting Plan'!$C$5:$C$18,0))),""))</f>
        <v/>
      </c>
      <c r="G412" s="45"/>
      <c r="H412" s="55" t="str">
        <f aca="false">IF(B412="","",IF(G412="",F412,G412))</f>
        <v/>
      </c>
      <c r="I412" s="45"/>
      <c r="J412" s="56"/>
      <c r="K412" s="46"/>
      <c r="L412" s="53" t="str">
        <f aca="false">IF(A412="","",IF(B412="","Missing code",IF(C412="Unknown code","Unknown code",IF(COUNTIF($A$6:$A$505,A412)&gt;1,"Duplicate WO",""))))</f>
        <v/>
      </c>
    </row>
    <row r="413" customFormat="false" ht="15" hidden="false" customHeight="false" outlineLevel="0" collapsed="false">
      <c r="A413" s="46"/>
      <c r="B413" s="46"/>
      <c r="C413" s="53" t="str">
        <f aca="false">IF(B413="","",IFERROR(INDEX('Kitting Plan'!$D$5:$D$18,MATCH(B413,'Kitting Plan'!$C$5:$C$18,0)),"Unknown code"))</f>
        <v/>
      </c>
      <c r="D413" s="53" t="str">
        <f aca="false">IF(B413="","",IFERROR(INDEX('Kitting Plan'!$B$5:$B$18,MATCH(B413,'Kitting Plan'!$C$5:$C$18,0)),""))</f>
        <v/>
      </c>
      <c r="E413" s="45"/>
      <c r="F413" s="54" t="str">
        <f aca="false">IF(B413="","",IFERROR(IF(OR(E413="",E413="All"),INDEX('Kitting Plan'!$E$5:$E$18,MATCH(B413,'Kitting Plan'!$C$5:$C$18,0)),INDEX('Kitting Plan'!$H$5:$H$18,MATCH(B413,'Kitting Plan'!$C$5:$C$18,0))),""))</f>
        <v/>
      </c>
      <c r="G413" s="45"/>
      <c r="H413" s="55" t="str">
        <f aca="false">IF(B413="","",IF(G413="",F413,G413))</f>
        <v/>
      </c>
      <c r="I413" s="45"/>
      <c r="J413" s="56"/>
      <c r="K413" s="46"/>
      <c r="L413" s="53" t="str">
        <f aca="false">IF(A413="","",IF(B413="","Missing code",IF(C413="Unknown code","Unknown code",IF(COUNTIF($A$6:$A$505,A413)&gt;1,"Duplicate WO",""))))</f>
        <v/>
      </c>
    </row>
    <row r="414" customFormat="false" ht="15" hidden="false" customHeight="false" outlineLevel="0" collapsed="false">
      <c r="A414" s="46"/>
      <c r="B414" s="46"/>
      <c r="C414" s="53" t="str">
        <f aca="false">IF(B414="","",IFERROR(INDEX('Kitting Plan'!$D$5:$D$18,MATCH(B414,'Kitting Plan'!$C$5:$C$18,0)),"Unknown code"))</f>
        <v/>
      </c>
      <c r="D414" s="53" t="str">
        <f aca="false">IF(B414="","",IFERROR(INDEX('Kitting Plan'!$B$5:$B$18,MATCH(B414,'Kitting Plan'!$C$5:$C$18,0)),""))</f>
        <v/>
      </c>
      <c r="E414" s="45"/>
      <c r="F414" s="54" t="str">
        <f aca="false">IF(B414="","",IFERROR(IF(OR(E414="",E414="All"),INDEX('Kitting Plan'!$E$5:$E$18,MATCH(B414,'Kitting Plan'!$C$5:$C$18,0)),INDEX('Kitting Plan'!$H$5:$H$18,MATCH(B414,'Kitting Plan'!$C$5:$C$18,0))),""))</f>
        <v/>
      </c>
      <c r="G414" s="45"/>
      <c r="H414" s="55" t="str">
        <f aca="false">IF(B414="","",IF(G414="",F414,G414))</f>
        <v/>
      </c>
      <c r="I414" s="45"/>
      <c r="J414" s="56"/>
      <c r="K414" s="46"/>
      <c r="L414" s="53" t="str">
        <f aca="false">IF(A414="","",IF(B414="","Missing code",IF(C414="Unknown code","Unknown code",IF(COUNTIF($A$6:$A$505,A414)&gt;1,"Duplicate WO",""))))</f>
        <v/>
      </c>
    </row>
    <row r="415" customFormat="false" ht="15" hidden="false" customHeight="false" outlineLevel="0" collapsed="false">
      <c r="A415" s="46"/>
      <c r="B415" s="46"/>
      <c r="C415" s="53" t="str">
        <f aca="false">IF(B415="","",IFERROR(INDEX('Kitting Plan'!$D$5:$D$18,MATCH(B415,'Kitting Plan'!$C$5:$C$18,0)),"Unknown code"))</f>
        <v/>
      </c>
      <c r="D415" s="53" t="str">
        <f aca="false">IF(B415="","",IFERROR(INDEX('Kitting Plan'!$B$5:$B$18,MATCH(B415,'Kitting Plan'!$C$5:$C$18,0)),""))</f>
        <v/>
      </c>
      <c r="E415" s="45"/>
      <c r="F415" s="54" t="str">
        <f aca="false">IF(B415="","",IFERROR(IF(OR(E415="",E415="All"),INDEX('Kitting Plan'!$E$5:$E$18,MATCH(B415,'Kitting Plan'!$C$5:$C$18,0)),INDEX('Kitting Plan'!$H$5:$H$18,MATCH(B415,'Kitting Plan'!$C$5:$C$18,0))),""))</f>
        <v/>
      </c>
      <c r="G415" s="45"/>
      <c r="H415" s="55" t="str">
        <f aca="false">IF(B415="","",IF(G415="",F415,G415))</f>
        <v/>
      </c>
      <c r="I415" s="45"/>
      <c r="J415" s="56"/>
      <c r="K415" s="46"/>
      <c r="L415" s="53" t="str">
        <f aca="false">IF(A415="","",IF(B415="","Missing code",IF(C415="Unknown code","Unknown code",IF(COUNTIF($A$6:$A$505,A415)&gt;1,"Duplicate WO",""))))</f>
        <v/>
      </c>
    </row>
    <row r="416" customFormat="false" ht="15" hidden="false" customHeight="false" outlineLevel="0" collapsed="false">
      <c r="A416" s="46"/>
      <c r="B416" s="46"/>
      <c r="C416" s="53" t="str">
        <f aca="false">IF(B416="","",IFERROR(INDEX('Kitting Plan'!$D$5:$D$18,MATCH(B416,'Kitting Plan'!$C$5:$C$18,0)),"Unknown code"))</f>
        <v/>
      </c>
      <c r="D416" s="53" t="str">
        <f aca="false">IF(B416="","",IFERROR(INDEX('Kitting Plan'!$B$5:$B$18,MATCH(B416,'Kitting Plan'!$C$5:$C$18,0)),""))</f>
        <v/>
      </c>
      <c r="E416" s="45"/>
      <c r="F416" s="54" t="str">
        <f aca="false">IF(B416="","",IFERROR(IF(OR(E416="",E416="All"),INDEX('Kitting Plan'!$E$5:$E$18,MATCH(B416,'Kitting Plan'!$C$5:$C$18,0)),INDEX('Kitting Plan'!$H$5:$H$18,MATCH(B416,'Kitting Plan'!$C$5:$C$18,0))),""))</f>
        <v/>
      </c>
      <c r="G416" s="45"/>
      <c r="H416" s="55" t="str">
        <f aca="false">IF(B416="","",IF(G416="",F416,G416))</f>
        <v/>
      </c>
      <c r="I416" s="45"/>
      <c r="J416" s="56"/>
      <c r="K416" s="46"/>
      <c r="L416" s="53" t="str">
        <f aca="false">IF(A416="","",IF(B416="","Missing code",IF(C416="Unknown code","Unknown code",IF(COUNTIF($A$6:$A$505,A416)&gt;1,"Duplicate WO",""))))</f>
        <v/>
      </c>
    </row>
    <row r="417" customFormat="false" ht="15" hidden="false" customHeight="false" outlineLevel="0" collapsed="false">
      <c r="A417" s="46"/>
      <c r="B417" s="46"/>
      <c r="C417" s="53" t="str">
        <f aca="false">IF(B417="","",IFERROR(INDEX('Kitting Plan'!$D$5:$D$18,MATCH(B417,'Kitting Plan'!$C$5:$C$18,0)),"Unknown code"))</f>
        <v/>
      </c>
      <c r="D417" s="53" t="str">
        <f aca="false">IF(B417="","",IFERROR(INDEX('Kitting Plan'!$B$5:$B$18,MATCH(B417,'Kitting Plan'!$C$5:$C$18,0)),""))</f>
        <v/>
      </c>
      <c r="E417" s="45"/>
      <c r="F417" s="54" t="str">
        <f aca="false">IF(B417="","",IFERROR(IF(OR(E417="",E417="All"),INDEX('Kitting Plan'!$E$5:$E$18,MATCH(B417,'Kitting Plan'!$C$5:$C$18,0)),INDEX('Kitting Plan'!$H$5:$H$18,MATCH(B417,'Kitting Plan'!$C$5:$C$18,0))),""))</f>
        <v/>
      </c>
      <c r="G417" s="45"/>
      <c r="H417" s="55" t="str">
        <f aca="false">IF(B417="","",IF(G417="",F417,G417))</f>
        <v/>
      </c>
      <c r="I417" s="45"/>
      <c r="J417" s="56"/>
      <c r="K417" s="46"/>
      <c r="L417" s="53" t="str">
        <f aca="false">IF(A417="","",IF(B417="","Missing code",IF(C417="Unknown code","Unknown code",IF(COUNTIF($A$6:$A$505,A417)&gt;1,"Duplicate WO",""))))</f>
        <v/>
      </c>
    </row>
    <row r="418" customFormat="false" ht="15" hidden="false" customHeight="false" outlineLevel="0" collapsed="false">
      <c r="A418" s="46"/>
      <c r="B418" s="46"/>
      <c r="C418" s="53" t="str">
        <f aca="false">IF(B418="","",IFERROR(INDEX('Kitting Plan'!$D$5:$D$18,MATCH(B418,'Kitting Plan'!$C$5:$C$18,0)),"Unknown code"))</f>
        <v/>
      </c>
      <c r="D418" s="53" t="str">
        <f aca="false">IF(B418="","",IFERROR(INDEX('Kitting Plan'!$B$5:$B$18,MATCH(B418,'Kitting Plan'!$C$5:$C$18,0)),""))</f>
        <v/>
      </c>
      <c r="E418" s="45"/>
      <c r="F418" s="54" t="str">
        <f aca="false">IF(B418="","",IFERROR(IF(OR(E418="",E418="All"),INDEX('Kitting Plan'!$E$5:$E$18,MATCH(B418,'Kitting Plan'!$C$5:$C$18,0)),INDEX('Kitting Plan'!$H$5:$H$18,MATCH(B418,'Kitting Plan'!$C$5:$C$18,0))),""))</f>
        <v/>
      </c>
      <c r="G418" s="45"/>
      <c r="H418" s="55" t="str">
        <f aca="false">IF(B418="","",IF(G418="",F418,G418))</f>
        <v/>
      </c>
      <c r="I418" s="45"/>
      <c r="J418" s="56"/>
      <c r="K418" s="46"/>
      <c r="L418" s="53" t="str">
        <f aca="false">IF(A418="","",IF(B418="","Missing code",IF(C418="Unknown code","Unknown code",IF(COUNTIF($A$6:$A$505,A418)&gt;1,"Duplicate WO",""))))</f>
        <v/>
      </c>
    </row>
    <row r="419" customFormat="false" ht="15" hidden="false" customHeight="false" outlineLevel="0" collapsed="false">
      <c r="A419" s="46"/>
      <c r="B419" s="46"/>
      <c r="C419" s="53" t="str">
        <f aca="false">IF(B419="","",IFERROR(INDEX('Kitting Plan'!$D$5:$D$18,MATCH(B419,'Kitting Plan'!$C$5:$C$18,0)),"Unknown code"))</f>
        <v/>
      </c>
      <c r="D419" s="53" t="str">
        <f aca="false">IF(B419="","",IFERROR(INDEX('Kitting Plan'!$B$5:$B$18,MATCH(B419,'Kitting Plan'!$C$5:$C$18,0)),""))</f>
        <v/>
      </c>
      <c r="E419" s="45"/>
      <c r="F419" s="54" t="str">
        <f aca="false">IF(B419="","",IFERROR(IF(OR(E419="",E419="All"),INDEX('Kitting Plan'!$E$5:$E$18,MATCH(B419,'Kitting Plan'!$C$5:$C$18,0)),INDEX('Kitting Plan'!$H$5:$H$18,MATCH(B419,'Kitting Plan'!$C$5:$C$18,0))),""))</f>
        <v/>
      </c>
      <c r="G419" s="45"/>
      <c r="H419" s="55" t="str">
        <f aca="false">IF(B419="","",IF(G419="",F419,G419))</f>
        <v/>
      </c>
      <c r="I419" s="45"/>
      <c r="J419" s="56"/>
      <c r="K419" s="46"/>
      <c r="L419" s="53" t="str">
        <f aca="false">IF(A419="","",IF(B419="","Missing code",IF(C419="Unknown code","Unknown code",IF(COUNTIF($A$6:$A$505,A419)&gt;1,"Duplicate WO",""))))</f>
        <v/>
      </c>
    </row>
    <row r="420" customFormat="false" ht="15" hidden="false" customHeight="false" outlineLevel="0" collapsed="false">
      <c r="A420" s="46"/>
      <c r="B420" s="46"/>
      <c r="C420" s="53" t="str">
        <f aca="false">IF(B420="","",IFERROR(INDEX('Kitting Plan'!$D$5:$D$18,MATCH(B420,'Kitting Plan'!$C$5:$C$18,0)),"Unknown code"))</f>
        <v/>
      </c>
      <c r="D420" s="53" t="str">
        <f aca="false">IF(B420="","",IFERROR(INDEX('Kitting Plan'!$B$5:$B$18,MATCH(B420,'Kitting Plan'!$C$5:$C$18,0)),""))</f>
        <v/>
      </c>
      <c r="E420" s="45"/>
      <c r="F420" s="54" t="str">
        <f aca="false">IF(B420="","",IFERROR(IF(OR(E420="",E420="All"),INDEX('Kitting Plan'!$E$5:$E$18,MATCH(B420,'Kitting Plan'!$C$5:$C$18,0)),INDEX('Kitting Plan'!$H$5:$H$18,MATCH(B420,'Kitting Plan'!$C$5:$C$18,0))),""))</f>
        <v/>
      </c>
      <c r="G420" s="45"/>
      <c r="H420" s="55" t="str">
        <f aca="false">IF(B420="","",IF(G420="",F420,G420))</f>
        <v/>
      </c>
      <c r="I420" s="45"/>
      <c r="J420" s="56"/>
      <c r="K420" s="46"/>
      <c r="L420" s="53" t="str">
        <f aca="false">IF(A420="","",IF(B420="","Missing code",IF(C420="Unknown code","Unknown code",IF(COUNTIF($A$6:$A$505,A420)&gt;1,"Duplicate WO",""))))</f>
        <v/>
      </c>
    </row>
    <row r="421" customFormat="false" ht="15" hidden="false" customHeight="false" outlineLevel="0" collapsed="false">
      <c r="A421" s="46"/>
      <c r="B421" s="46"/>
      <c r="C421" s="53" t="str">
        <f aca="false">IF(B421="","",IFERROR(INDEX('Kitting Plan'!$D$5:$D$18,MATCH(B421,'Kitting Plan'!$C$5:$C$18,0)),"Unknown code"))</f>
        <v/>
      </c>
      <c r="D421" s="53" t="str">
        <f aca="false">IF(B421="","",IFERROR(INDEX('Kitting Plan'!$B$5:$B$18,MATCH(B421,'Kitting Plan'!$C$5:$C$18,0)),""))</f>
        <v/>
      </c>
      <c r="E421" s="45"/>
      <c r="F421" s="54" t="str">
        <f aca="false">IF(B421="","",IFERROR(IF(OR(E421="",E421="All"),INDEX('Kitting Plan'!$E$5:$E$18,MATCH(B421,'Kitting Plan'!$C$5:$C$18,0)),INDEX('Kitting Plan'!$H$5:$H$18,MATCH(B421,'Kitting Plan'!$C$5:$C$18,0))),""))</f>
        <v/>
      </c>
      <c r="G421" s="45"/>
      <c r="H421" s="55" t="str">
        <f aca="false">IF(B421="","",IF(G421="",F421,G421))</f>
        <v/>
      </c>
      <c r="I421" s="45"/>
      <c r="J421" s="56"/>
      <c r="K421" s="46"/>
      <c r="L421" s="53" t="str">
        <f aca="false">IF(A421="","",IF(B421="","Missing code",IF(C421="Unknown code","Unknown code",IF(COUNTIF($A$6:$A$505,A421)&gt;1,"Duplicate WO",""))))</f>
        <v/>
      </c>
    </row>
    <row r="422" customFormat="false" ht="15" hidden="false" customHeight="false" outlineLevel="0" collapsed="false">
      <c r="A422" s="46"/>
      <c r="B422" s="46"/>
      <c r="C422" s="53" t="str">
        <f aca="false">IF(B422="","",IFERROR(INDEX('Kitting Plan'!$D$5:$D$18,MATCH(B422,'Kitting Plan'!$C$5:$C$18,0)),"Unknown code"))</f>
        <v/>
      </c>
      <c r="D422" s="53" t="str">
        <f aca="false">IF(B422="","",IFERROR(INDEX('Kitting Plan'!$B$5:$B$18,MATCH(B422,'Kitting Plan'!$C$5:$C$18,0)),""))</f>
        <v/>
      </c>
      <c r="E422" s="45"/>
      <c r="F422" s="54" t="str">
        <f aca="false">IF(B422="","",IFERROR(IF(OR(E422="",E422="All"),INDEX('Kitting Plan'!$E$5:$E$18,MATCH(B422,'Kitting Plan'!$C$5:$C$18,0)),INDEX('Kitting Plan'!$H$5:$H$18,MATCH(B422,'Kitting Plan'!$C$5:$C$18,0))),""))</f>
        <v/>
      </c>
      <c r="G422" s="45"/>
      <c r="H422" s="55" t="str">
        <f aca="false">IF(B422="","",IF(G422="",F422,G422))</f>
        <v/>
      </c>
      <c r="I422" s="45"/>
      <c r="J422" s="56"/>
      <c r="K422" s="46"/>
      <c r="L422" s="53" t="str">
        <f aca="false">IF(A422="","",IF(B422="","Missing code",IF(C422="Unknown code","Unknown code",IF(COUNTIF($A$6:$A$505,A422)&gt;1,"Duplicate WO",""))))</f>
        <v/>
      </c>
    </row>
    <row r="423" customFormat="false" ht="15" hidden="false" customHeight="false" outlineLevel="0" collapsed="false">
      <c r="A423" s="46"/>
      <c r="B423" s="46"/>
      <c r="C423" s="53" t="str">
        <f aca="false">IF(B423="","",IFERROR(INDEX('Kitting Plan'!$D$5:$D$18,MATCH(B423,'Kitting Plan'!$C$5:$C$18,0)),"Unknown code"))</f>
        <v/>
      </c>
      <c r="D423" s="53" t="str">
        <f aca="false">IF(B423="","",IFERROR(INDEX('Kitting Plan'!$B$5:$B$18,MATCH(B423,'Kitting Plan'!$C$5:$C$18,0)),""))</f>
        <v/>
      </c>
      <c r="E423" s="45"/>
      <c r="F423" s="54" t="str">
        <f aca="false">IF(B423="","",IFERROR(IF(OR(E423="",E423="All"),INDEX('Kitting Plan'!$E$5:$E$18,MATCH(B423,'Kitting Plan'!$C$5:$C$18,0)),INDEX('Kitting Plan'!$H$5:$H$18,MATCH(B423,'Kitting Plan'!$C$5:$C$18,0))),""))</f>
        <v/>
      </c>
      <c r="G423" s="45"/>
      <c r="H423" s="55" t="str">
        <f aca="false">IF(B423="","",IF(G423="",F423,G423))</f>
        <v/>
      </c>
      <c r="I423" s="45"/>
      <c r="J423" s="56"/>
      <c r="K423" s="46"/>
      <c r="L423" s="53" t="str">
        <f aca="false">IF(A423="","",IF(B423="","Missing code",IF(C423="Unknown code","Unknown code",IF(COUNTIF($A$6:$A$505,A423)&gt;1,"Duplicate WO",""))))</f>
        <v/>
      </c>
    </row>
    <row r="424" customFormat="false" ht="15" hidden="false" customHeight="false" outlineLevel="0" collapsed="false">
      <c r="A424" s="46"/>
      <c r="B424" s="46"/>
      <c r="C424" s="53" t="str">
        <f aca="false">IF(B424="","",IFERROR(INDEX('Kitting Plan'!$D$5:$D$18,MATCH(B424,'Kitting Plan'!$C$5:$C$18,0)),"Unknown code"))</f>
        <v/>
      </c>
      <c r="D424" s="53" t="str">
        <f aca="false">IF(B424="","",IFERROR(INDEX('Kitting Plan'!$B$5:$B$18,MATCH(B424,'Kitting Plan'!$C$5:$C$18,0)),""))</f>
        <v/>
      </c>
      <c r="E424" s="45"/>
      <c r="F424" s="54" t="str">
        <f aca="false">IF(B424="","",IFERROR(IF(OR(E424="",E424="All"),INDEX('Kitting Plan'!$E$5:$E$18,MATCH(B424,'Kitting Plan'!$C$5:$C$18,0)),INDEX('Kitting Plan'!$H$5:$H$18,MATCH(B424,'Kitting Plan'!$C$5:$C$18,0))),""))</f>
        <v/>
      </c>
      <c r="G424" s="45"/>
      <c r="H424" s="55" t="str">
        <f aca="false">IF(B424="","",IF(G424="",F424,G424))</f>
        <v/>
      </c>
      <c r="I424" s="45"/>
      <c r="J424" s="56"/>
      <c r="K424" s="46"/>
      <c r="L424" s="53" t="str">
        <f aca="false">IF(A424="","",IF(B424="","Missing code",IF(C424="Unknown code","Unknown code",IF(COUNTIF($A$6:$A$505,A424)&gt;1,"Duplicate WO",""))))</f>
        <v/>
      </c>
    </row>
    <row r="425" customFormat="false" ht="15" hidden="false" customHeight="false" outlineLevel="0" collapsed="false">
      <c r="A425" s="46"/>
      <c r="B425" s="46"/>
      <c r="C425" s="53" t="str">
        <f aca="false">IF(B425="","",IFERROR(INDEX('Kitting Plan'!$D$5:$D$18,MATCH(B425,'Kitting Plan'!$C$5:$C$18,0)),"Unknown code"))</f>
        <v/>
      </c>
      <c r="D425" s="53" t="str">
        <f aca="false">IF(B425="","",IFERROR(INDEX('Kitting Plan'!$B$5:$B$18,MATCH(B425,'Kitting Plan'!$C$5:$C$18,0)),""))</f>
        <v/>
      </c>
      <c r="E425" s="45"/>
      <c r="F425" s="54" t="str">
        <f aca="false">IF(B425="","",IFERROR(IF(OR(E425="",E425="All"),INDEX('Kitting Plan'!$E$5:$E$18,MATCH(B425,'Kitting Plan'!$C$5:$C$18,0)),INDEX('Kitting Plan'!$H$5:$H$18,MATCH(B425,'Kitting Plan'!$C$5:$C$18,0))),""))</f>
        <v/>
      </c>
      <c r="G425" s="45"/>
      <c r="H425" s="55" t="str">
        <f aca="false">IF(B425="","",IF(G425="",F425,G425))</f>
        <v/>
      </c>
      <c r="I425" s="45"/>
      <c r="J425" s="56"/>
      <c r="K425" s="46"/>
      <c r="L425" s="53" t="str">
        <f aca="false">IF(A425="","",IF(B425="","Missing code",IF(C425="Unknown code","Unknown code",IF(COUNTIF($A$6:$A$505,A425)&gt;1,"Duplicate WO",""))))</f>
        <v/>
      </c>
    </row>
    <row r="426" customFormat="false" ht="15" hidden="false" customHeight="false" outlineLevel="0" collapsed="false">
      <c r="A426" s="46"/>
      <c r="B426" s="46"/>
      <c r="C426" s="53" t="str">
        <f aca="false">IF(B426="","",IFERROR(INDEX('Kitting Plan'!$D$5:$D$18,MATCH(B426,'Kitting Plan'!$C$5:$C$18,0)),"Unknown code"))</f>
        <v/>
      </c>
      <c r="D426" s="53" t="str">
        <f aca="false">IF(B426="","",IFERROR(INDEX('Kitting Plan'!$B$5:$B$18,MATCH(B426,'Kitting Plan'!$C$5:$C$18,0)),""))</f>
        <v/>
      </c>
      <c r="E426" s="45"/>
      <c r="F426" s="54" t="str">
        <f aca="false">IF(B426="","",IFERROR(IF(OR(E426="",E426="All"),INDEX('Kitting Plan'!$E$5:$E$18,MATCH(B426,'Kitting Plan'!$C$5:$C$18,0)),INDEX('Kitting Plan'!$H$5:$H$18,MATCH(B426,'Kitting Plan'!$C$5:$C$18,0))),""))</f>
        <v/>
      </c>
      <c r="G426" s="45"/>
      <c r="H426" s="55" t="str">
        <f aca="false">IF(B426="","",IF(G426="",F426,G426))</f>
        <v/>
      </c>
      <c r="I426" s="45"/>
      <c r="J426" s="56"/>
      <c r="K426" s="46"/>
      <c r="L426" s="53" t="str">
        <f aca="false">IF(A426="","",IF(B426="","Missing code",IF(C426="Unknown code","Unknown code",IF(COUNTIF($A$6:$A$505,A426)&gt;1,"Duplicate WO",""))))</f>
        <v/>
      </c>
    </row>
    <row r="427" customFormat="false" ht="15" hidden="false" customHeight="false" outlineLevel="0" collapsed="false">
      <c r="A427" s="46"/>
      <c r="B427" s="46"/>
      <c r="C427" s="53" t="str">
        <f aca="false">IF(B427="","",IFERROR(INDEX('Kitting Plan'!$D$5:$D$18,MATCH(B427,'Kitting Plan'!$C$5:$C$18,0)),"Unknown code"))</f>
        <v/>
      </c>
      <c r="D427" s="53" t="str">
        <f aca="false">IF(B427="","",IFERROR(INDEX('Kitting Plan'!$B$5:$B$18,MATCH(B427,'Kitting Plan'!$C$5:$C$18,0)),""))</f>
        <v/>
      </c>
      <c r="E427" s="45"/>
      <c r="F427" s="54" t="str">
        <f aca="false">IF(B427="","",IFERROR(IF(OR(E427="",E427="All"),INDEX('Kitting Plan'!$E$5:$E$18,MATCH(B427,'Kitting Plan'!$C$5:$C$18,0)),INDEX('Kitting Plan'!$H$5:$H$18,MATCH(B427,'Kitting Plan'!$C$5:$C$18,0))),""))</f>
        <v/>
      </c>
      <c r="G427" s="45"/>
      <c r="H427" s="55" t="str">
        <f aca="false">IF(B427="","",IF(G427="",F427,G427))</f>
        <v/>
      </c>
      <c r="I427" s="45"/>
      <c r="J427" s="56"/>
      <c r="K427" s="46"/>
      <c r="L427" s="53" t="str">
        <f aca="false">IF(A427="","",IF(B427="","Missing code",IF(C427="Unknown code","Unknown code",IF(COUNTIF($A$6:$A$505,A427)&gt;1,"Duplicate WO",""))))</f>
        <v/>
      </c>
    </row>
    <row r="428" customFormat="false" ht="15" hidden="false" customHeight="false" outlineLevel="0" collapsed="false">
      <c r="A428" s="46"/>
      <c r="B428" s="46"/>
      <c r="C428" s="53" t="str">
        <f aca="false">IF(B428="","",IFERROR(INDEX('Kitting Plan'!$D$5:$D$18,MATCH(B428,'Kitting Plan'!$C$5:$C$18,0)),"Unknown code"))</f>
        <v/>
      </c>
      <c r="D428" s="53" t="str">
        <f aca="false">IF(B428="","",IFERROR(INDEX('Kitting Plan'!$B$5:$B$18,MATCH(B428,'Kitting Plan'!$C$5:$C$18,0)),""))</f>
        <v/>
      </c>
      <c r="E428" s="45"/>
      <c r="F428" s="54" t="str">
        <f aca="false">IF(B428="","",IFERROR(IF(OR(E428="",E428="All"),INDEX('Kitting Plan'!$E$5:$E$18,MATCH(B428,'Kitting Plan'!$C$5:$C$18,0)),INDEX('Kitting Plan'!$H$5:$H$18,MATCH(B428,'Kitting Plan'!$C$5:$C$18,0))),""))</f>
        <v/>
      </c>
      <c r="G428" s="45"/>
      <c r="H428" s="55" t="str">
        <f aca="false">IF(B428="","",IF(G428="",F428,G428))</f>
        <v/>
      </c>
      <c r="I428" s="45"/>
      <c r="J428" s="56"/>
      <c r="K428" s="46"/>
      <c r="L428" s="53" t="str">
        <f aca="false">IF(A428="","",IF(B428="","Missing code",IF(C428="Unknown code","Unknown code",IF(COUNTIF($A$6:$A$505,A428)&gt;1,"Duplicate WO",""))))</f>
        <v/>
      </c>
    </row>
    <row r="429" customFormat="false" ht="15" hidden="false" customHeight="false" outlineLevel="0" collapsed="false">
      <c r="A429" s="46"/>
      <c r="B429" s="46"/>
      <c r="C429" s="53" t="str">
        <f aca="false">IF(B429="","",IFERROR(INDEX('Kitting Plan'!$D$5:$D$18,MATCH(B429,'Kitting Plan'!$C$5:$C$18,0)),"Unknown code"))</f>
        <v/>
      </c>
      <c r="D429" s="53" t="str">
        <f aca="false">IF(B429="","",IFERROR(INDEX('Kitting Plan'!$B$5:$B$18,MATCH(B429,'Kitting Plan'!$C$5:$C$18,0)),""))</f>
        <v/>
      </c>
      <c r="E429" s="45"/>
      <c r="F429" s="54" t="str">
        <f aca="false">IF(B429="","",IFERROR(IF(OR(E429="",E429="All"),INDEX('Kitting Plan'!$E$5:$E$18,MATCH(B429,'Kitting Plan'!$C$5:$C$18,0)),INDEX('Kitting Plan'!$H$5:$H$18,MATCH(B429,'Kitting Plan'!$C$5:$C$18,0))),""))</f>
        <v/>
      </c>
      <c r="G429" s="45"/>
      <c r="H429" s="55" t="str">
        <f aca="false">IF(B429="","",IF(G429="",F429,G429))</f>
        <v/>
      </c>
      <c r="I429" s="45"/>
      <c r="J429" s="56"/>
      <c r="K429" s="46"/>
      <c r="L429" s="53" t="str">
        <f aca="false">IF(A429="","",IF(B429="","Missing code",IF(C429="Unknown code","Unknown code",IF(COUNTIF($A$6:$A$505,A429)&gt;1,"Duplicate WO",""))))</f>
        <v/>
      </c>
    </row>
    <row r="430" customFormat="false" ht="15" hidden="false" customHeight="false" outlineLevel="0" collapsed="false">
      <c r="A430" s="46"/>
      <c r="B430" s="46"/>
      <c r="C430" s="53" t="str">
        <f aca="false">IF(B430="","",IFERROR(INDEX('Kitting Plan'!$D$5:$D$18,MATCH(B430,'Kitting Plan'!$C$5:$C$18,0)),"Unknown code"))</f>
        <v/>
      </c>
      <c r="D430" s="53" t="str">
        <f aca="false">IF(B430="","",IFERROR(INDEX('Kitting Plan'!$B$5:$B$18,MATCH(B430,'Kitting Plan'!$C$5:$C$18,0)),""))</f>
        <v/>
      </c>
      <c r="E430" s="45"/>
      <c r="F430" s="54" t="str">
        <f aca="false">IF(B430="","",IFERROR(IF(OR(E430="",E430="All"),INDEX('Kitting Plan'!$E$5:$E$18,MATCH(B430,'Kitting Plan'!$C$5:$C$18,0)),INDEX('Kitting Plan'!$H$5:$H$18,MATCH(B430,'Kitting Plan'!$C$5:$C$18,0))),""))</f>
        <v/>
      </c>
      <c r="G430" s="45"/>
      <c r="H430" s="55" t="str">
        <f aca="false">IF(B430="","",IF(G430="",F430,G430))</f>
        <v/>
      </c>
      <c r="I430" s="45"/>
      <c r="J430" s="56"/>
      <c r="K430" s="46"/>
      <c r="L430" s="53" t="str">
        <f aca="false">IF(A430="","",IF(B430="","Missing code",IF(C430="Unknown code","Unknown code",IF(COUNTIF($A$6:$A$505,A430)&gt;1,"Duplicate WO",""))))</f>
        <v/>
      </c>
    </row>
    <row r="431" customFormat="false" ht="15" hidden="false" customHeight="false" outlineLevel="0" collapsed="false">
      <c r="A431" s="46"/>
      <c r="B431" s="46"/>
      <c r="C431" s="53" t="str">
        <f aca="false">IF(B431="","",IFERROR(INDEX('Kitting Plan'!$D$5:$D$18,MATCH(B431,'Kitting Plan'!$C$5:$C$18,0)),"Unknown code"))</f>
        <v/>
      </c>
      <c r="D431" s="53" t="str">
        <f aca="false">IF(B431="","",IFERROR(INDEX('Kitting Plan'!$B$5:$B$18,MATCH(B431,'Kitting Plan'!$C$5:$C$18,0)),""))</f>
        <v/>
      </c>
      <c r="E431" s="45"/>
      <c r="F431" s="54" t="str">
        <f aca="false">IF(B431="","",IFERROR(IF(OR(E431="",E431="All"),INDEX('Kitting Plan'!$E$5:$E$18,MATCH(B431,'Kitting Plan'!$C$5:$C$18,0)),INDEX('Kitting Plan'!$H$5:$H$18,MATCH(B431,'Kitting Plan'!$C$5:$C$18,0))),""))</f>
        <v/>
      </c>
      <c r="G431" s="45"/>
      <c r="H431" s="55" t="str">
        <f aca="false">IF(B431="","",IF(G431="",F431,G431))</f>
        <v/>
      </c>
      <c r="I431" s="45"/>
      <c r="J431" s="56"/>
      <c r="K431" s="46"/>
      <c r="L431" s="53" t="str">
        <f aca="false">IF(A431="","",IF(B431="","Missing code",IF(C431="Unknown code","Unknown code",IF(COUNTIF($A$6:$A$505,A431)&gt;1,"Duplicate WO",""))))</f>
        <v/>
      </c>
    </row>
    <row r="432" customFormat="false" ht="15" hidden="false" customHeight="false" outlineLevel="0" collapsed="false">
      <c r="A432" s="46"/>
      <c r="B432" s="46"/>
      <c r="C432" s="53" t="str">
        <f aca="false">IF(B432="","",IFERROR(INDEX('Kitting Plan'!$D$5:$D$18,MATCH(B432,'Kitting Plan'!$C$5:$C$18,0)),"Unknown code"))</f>
        <v/>
      </c>
      <c r="D432" s="53" t="str">
        <f aca="false">IF(B432="","",IFERROR(INDEX('Kitting Plan'!$B$5:$B$18,MATCH(B432,'Kitting Plan'!$C$5:$C$18,0)),""))</f>
        <v/>
      </c>
      <c r="E432" s="45"/>
      <c r="F432" s="54" t="str">
        <f aca="false">IF(B432="","",IFERROR(IF(OR(E432="",E432="All"),INDEX('Kitting Plan'!$E$5:$E$18,MATCH(B432,'Kitting Plan'!$C$5:$C$18,0)),INDEX('Kitting Plan'!$H$5:$H$18,MATCH(B432,'Kitting Plan'!$C$5:$C$18,0))),""))</f>
        <v/>
      </c>
      <c r="G432" s="45"/>
      <c r="H432" s="55" t="str">
        <f aca="false">IF(B432="","",IF(G432="",F432,G432))</f>
        <v/>
      </c>
      <c r="I432" s="45"/>
      <c r="J432" s="56"/>
      <c r="K432" s="46"/>
      <c r="L432" s="53" t="str">
        <f aca="false">IF(A432="","",IF(B432="","Missing code",IF(C432="Unknown code","Unknown code",IF(COUNTIF($A$6:$A$505,A432)&gt;1,"Duplicate WO",""))))</f>
        <v/>
      </c>
    </row>
    <row r="433" customFormat="false" ht="15" hidden="false" customHeight="false" outlineLevel="0" collapsed="false">
      <c r="A433" s="46"/>
      <c r="B433" s="46"/>
      <c r="C433" s="53" t="str">
        <f aca="false">IF(B433="","",IFERROR(INDEX('Kitting Plan'!$D$5:$D$18,MATCH(B433,'Kitting Plan'!$C$5:$C$18,0)),"Unknown code"))</f>
        <v/>
      </c>
      <c r="D433" s="53" t="str">
        <f aca="false">IF(B433="","",IFERROR(INDEX('Kitting Plan'!$B$5:$B$18,MATCH(B433,'Kitting Plan'!$C$5:$C$18,0)),""))</f>
        <v/>
      </c>
      <c r="E433" s="45"/>
      <c r="F433" s="54" t="str">
        <f aca="false">IF(B433="","",IFERROR(IF(OR(E433="",E433="All"),INDEX('Kitting Plan'!$E$5:$E$18,MATCH(B433,'Kitting Plan'!$C$5:$C$18,0)),INDEX('Kitting Plan'!$H$5:$H$18,MATCH(B433,'Kitting Plan'!$C$5:$C$18,0))),""))</f>
        <v/>
      </c>
      <c r="G433" s="45"/>
      <c r="H433" s="55" t="str">
        <f aca="false">IF(B433="","",IF(G433="",F433,G433))</f>
        <v/>
      </c>
      <c r="I433" s="45"/>
      <c r="J433" s="56"/>
      <c r="K433" s="46"/>
      <c r="L433" s="53" t="str">
        <f aca="false">IF(A433="","",IF(B433="","Missing code",IF(C433="Unknown code","Unknown code",IF(COUNTIF($A$6:$A$505,A433)&gt;1,"Duplicate WO",""))))</f>
        <v/>
      </c>
    </row>
    <row r="434" customFormat="false" ht="15" hidden="false" customHeight="false" outlineLevel="0" collapsed="false">
      <c r="A434" s="46"/>
      <c r="B434" s="46"/>
      <c r="C434" s="53" t="str">
        <f aca="false">IF(B434="","",IFERROR(INDEX('Kitting Plan'!$D$5:$D$18,MATCH(B434,'Kitting Plan'!$C$5:$C$18,0)),"Unknown code"))</f>
        <v/>
      </c>
      <c r="D434" s="53" t="str">
        <f aca="false">IF(B434="","",IFERROR(INDEX('Kitting Plan'!$B$5:$B$18,MATCH(B434,'Kitting Plan'!$C$5:$C$18,0)),""))</f>
        <v/>
      </c>
      <c r="E434" s="45"/>
      <c r="F434" s="54" t="str">
        <f aca="false">IF(B434="","",IFERROR(IF(OR(E434="",E434="All"),INDEX('Kitting Plan'!$E$5:$E$18,MATCH(B434,'Kitting Plan'!$C$5:$C$18,0)),INDEX('Kitting Plan'!$H$5:$H$18,MATCH(B434,'Kitting Plan'!$C$5:$C$18,0))),""))</f>
        <v/>
      </c>
      <c r="G434" s="45"/>
      <c r="H434" s="55" t="str">
        <f aca="false">IF(B434="","",IF(G434="",F434,G434))</f>
        <v/>
      </c>
      <c r="I434" s="45"/>
      <c r="J434" s="56"/>
      <c r="K434" s="46"/>
      <c r="L434" s="53" t="str">
        <f aca="false">IF(A434="","",IF(B434="","Missing code",IF(C434="Unknown code","Unknown code",IF(COUNTIF($A$6:$A$505,A434)&gt;1,"Duplicate WO",""))))</f>
        <v/>
      </c>
    </row>
    <row r="435" customFormat="false" ht="15" hidden="false" customHeight="false" outlineLevel="0" collapsed="false">
      <c r="A435" s="46"/>
      <c r="B435" s="46"/>
      <c r="C435" s="53" t="str">
        <f aca="false">IF(B435="","",IFERROR(INDEX('Kitting Plan'!$D$5:$D$18,MATCH(B435,'Kitting Plan'!$C$5:$C$18,0)),"Unknown code"))</f>
        <v/>
      </c>
      <c r="D435" s="53" t="str">
        <f aca="false">IF(B435="","",IFERROR(INDEX('Kitting Plan'!$B$5:$B$18,MATCH(B435,'Kitting Plan'!$C$5:$C$18,0)),""))</f>
        <v/>
      </c>
      <c r="E435" s="45"/>
      <c r="F435" s="54" t="str">
        <f aca="false">IF(B435="","",IFERROR(IF(OR(E435="",E435="All"),INDEX('Kitting Plan'!$E$5:$E$18,MATCH(B435,'Kitting Plan'!$C$5:$C$18,0)),INDEX('Kitting Plan'!$H$5:$H$18,MATCH(B435,'Kitting Plan'!$C$5:$C$18,0))),""))</f>
        <v/>
      </c>
      <c r="G435" s="45"/>
      <c r="H435" s="55" t="str">
        <f aca="false">IF(B435="","",IF(G435="",F435,G435))</f>
        <v/>
      </c>
      <c r="I435" s="45"/>
      <c r="J435" s="56"/>
      <c r="K435" s="46"/>
      <c r="L435" s="53" t="str">
        <f aca="false">IF(A435="","",IF(B435="","Missing code",IF(C435="Unknown code","Unknown code",IF(COUNTIF($A$6:$A$505,A435)&gt;1,"Duplicate WO",""))))</f>
        <v/>
      </c>
    </row>
    <row r="436" customFormat="false" ht="15" hidden="false" customHeight="false" outlineLevel="0" collapsed="false">
      <c r="A436" s="46"/>
      <c r="B436" s="46"/>
      <c r="C436" s="53" t="str">
        <f aca="false">IF(B436="","",IFERROR(INDEX('Kitting Plan'!$D$5:$D$18,MATCH(B436,'Kitting Plan'!$C$5:$C$18,0)),"Unknown code"))</f>
        <v/>
      </c>
      <c r="D436" s="53" t="str">
        <f aca="false">IF(B436="","",IFERROR(INDEX('Kitting Plan'!$B$5:$B$18,MATCH(B436,'Kitting Plan'!$C$5:$C$18,0)),""))</f>
        <v/>
      </c>
      <c r="E436" s="45"/>
      <c r="F436" s="54" t="str">
        <f aca="false">IF(B436="","",IFERROR(IF(OR(E436="",E436="All"),INDEX('Kitting Plan'!$E$5:$E$18,MATCH(B436,'Kitting Plan'!$C$5:$C$18,0)),INDEX('Kitting Plan'!$H$5:$H$18,MATCH(B436,'Kitting Plan'!$C$5:$C$18,0))),""))</f>
        <v/>
      </c>
      <c r="G436" s="45"/>
      <c r="H436" s="55" t="str">
        <f aca="false">IF(B436="","",IF(G436="",F436,G436))</f>
        <v/>
      </c>
      <c r="I436" s="45"/>
      <c r="J436" s="56"/>
      <c r="K436" s="46"/>
      <c r="L436" s="53" t="str">
        <f aca="false">IF(A436="","",IF(B436="","Missing code",IF(C436="Unknown code","Unknown code",IF(COUNTIF($A$6:$A$505,A436)&gt;1,"Duplicate WO",""))))</f>
        <v/>
      </c>
    </row>
    <row r="437" customFormat="false" ht="15" hidden="false" customHeight="false" outlineLevel="0" collapsed="false">
      <c r="A437" s="46"/>
      <c r="B437" s="46"/>
      <c r="C437" s="53" t="str">
        <f aca="false">IF(B437="","",IFERROR(INDEX('Kitting Plan'!$D$5:$D$18,MATCH(B437,'Kitting Plan'!$C$5:$C$18,0)),"Unknown code"))</f>
        <v/>
      </c>
      <c r="D437" s="53" t="str">
        <f aca="false">IF(B437="","",IFERROR(INDEX('Kitting Plan'!$B$5:$B$18,MATCH(B437,'Kitting Plan'!$C$5:$C$18,0)),""))</f>
        <v/>
      </c>
      <c r="E437" s="45"/>
      <c r="F437" s="54" t="str">
        <f aca="false">IF(B437="","",IFERROR(IF(OR(E437="",E437="All"),INDEX('Kitting Plan'!$E$5:$E$18,MATCH(B437,'Kitting Plan'!$C$5:$C$18,0)),INDEX('Kitting Plan'!$H$5:$H$18,MATCH(B437,'Kitting Plan'!$C$5:$C$18,0))),""))</f>
        <v/>
      </c>
      <c r="G437" s="45"/>
      <c r="H437" s="55" t="str">
        <f aca="false">IF(B437="","",IF(G437="",F437,G437))</f>
        <v/>
      </c>
      <c r="I437" s="45"/>
      <c r="J437" s="56"/>
      <c r="K437" s="46"/>
      <c r="L437" s="53" t="str">
        <f aca="false">IF(A437="","",IF(B437="","Missing code",IF(C437="Unknown code","Unknown code",IF(COUNTIF($A$6:$A$505,A437)&gt;1,"Duplicate WO",""))))</f>
        <v/>
      </c>
    </row>
    <row r="438" customFormat="false" ht="15" hidden="false" customHeight="false" outlineLevel="0" collapsed="false">
      <c r="A438" s="46"/>
      <c r="B438" s="46"/>
      <c r="C438" s="53" t="str">
        <f aca="false">IF(B438="","",IFERROR(INDEX('Kitting Plan'!$D$5:$D$18,MATCH(B438,'Kitting Plan'!$C$5:$C$18,0)),"Unknown code"))</f>
        <v/>
      </c>
      <c r="D438" s="53" t="str">
        <f aca="false">IF(B438="","",IFERROR(INDEX('Kitting Plan'!$B$5:$B$18,MATCH(B438,'Kitting Plan'!$C$5:$C$18,0)),""))</f>
        <v/>
      </c>
      <c r="E438" s="45"/>
      <c r="F438" s="54" t="str">
        <f aca="false">IF(B438="","",IFERROR(IF(OR(E438="",E438="All"),INDEX('Kitting Plan'!$E$5:$E$18,MATCH(B438,'Kitting Plan'!$C$5:$C$18,0)),INDEX('Kitting Plan'!$H$5:$H$18,MATCH(B438,'Kitting Plan'!$C$5:$C$18,0))),""))</f>
        <v/>
      </c>
      <c r="G438" s="45"/>
      <c r="H438" s="55" t="str">
        <f aca="false">IF(B438="","",IF(G438="",F438,G438))</f>
        <v/>
      </c>
      <c r="I438" s="45"/>
      <c r="J438" s="56"/>
      <c r="K438" s="46"/>
      <c r="L438" s="53" t="str">
        <f aca="false">IF(A438="","",IF(B438="","Missing code",IF(C438="Unknown code","Unknown code",IF(COUNTIF($A$6:$A$505,A438)&gt;1,"Duplicate WO",""))))</f>
        <v/>
      </c>
    </row>
    <row r="439" customFormat="false" ht="15" hidden="false" customHeight="false" outlineLevel="0" collapsed="false">
      <c r="A439" s="46"/>
      <c r="B439" s="46"/>
      <c r="C439" s="53" t="str">
        <f aca="false">IF(B439="","",IFERROR(INDEX('Kitting Plan'!$D$5:$D$18,MATCH(B439,'Kitting Plan'!$C$5:$C$18,0)),"Unknown code"))</f>
        <v/>
      </c>
      <c r="D439" s="53" t="str">
        <f aca="false">IF(B439="","",IFERROR(INDEX('Kitting Plan'!$B$5:$B$18,MATCH(B439,'Kitting Plan'!$C$5:$C$18,0)),""))</f>
        <v/>
      </c>
      <c r="E439" s="45"/>
      <c r="F439" s="54" t="str">
        <f aca="false">IF(B439="","",IFERROR(IF(OR(E439="",E439="All"),INDEX('Kitting Plan'!$E$5:$E$18,MATCH(B439,'Kitting Plan'!$C$5:$C$18,0)),INDEX('Kitting Plan'!$H$5:$H$18,MATCH(B439,'Kitting Plan'!$C$5:$C$18,0))),""))</f>
        <v/>
      </c>
      <c r="G439" s="45"/>
      <c r="H439" s="55" t="str">
        <f aca="false">IF(B439="","",IF(G439="",F439,G439))</f>
        <v/>
      </c>
      <c r="I439" s="45"/>
      <c r="J439" s="56"/>
      <c r="K439" s="46"/>
      <c r="L439" s="53" t="str">
        <f aca="false">IF(A439="","",IF(B439="","Missing code",IF(C439="Unknown code","Unknown code",IF(COUNTIF($A$6:$A$505,A439)&gt;1,"Duplicate WO",""))))</f>
        <v/>
      </c>
    </row>
    <row r="440" customFormat="false" ht="15" hidden="false" customHeight="false" outlineLevel="0" collapsed="false">
      <c r="A440" s="46"/>
      <c r="B440" s="46"/>
      <c r="C440" s="53" t="str">
        <f aca="false">IF(B440="","",IFERROR(INDEX('Kitting Plan'!$D$5:$D$18,MATCH(B440,'Kitting Plan'!$C$5:$C$18,0)),"Unknown code"))</f>
        <v/>
      </c>
      <c r="D440" s="53" t="str">
        <f aca="false">IF(B440="","",IFERROR(INDEX('Kitting Plan'!$B$5:$B$18,MATCH(B440,'Kitting Plan'!$C$5:$C$18,0)),""))</f>
        <v/>
      </c>
      <c r="E440" s="45"/>
      <c r="F440" s="54" t="str">
        <f aca="false">IF(B440="","",IFERROR(IF(OR(E440="",E440="All"),INDEX('Kitting Plan'!$E$5:$E$18,MATCH(B440,'Kitting Plan'!$C$5:$C$18,0)),INDEX('Kitting Plan'!$H$5:$H$18,MATCH(B440,'Kitting Plan'!$C$5:$C$18,0))),""))</f>
        <v/>
      </c>
      <c r="G440" s="45"/>
      <c r="H440" s="55" t="str">
        <f aca="false">IF(B440="","",IF(G440="",F440,G440))</f>
        <v/>
      </c>
      <c r="I440" s="45"/>
      <c r="J440" s="56"/>
      <c r="K440" s="46"/>
      <c r="L440" s="53" t="str">
        <f aca="false">IF(A440="","",IF(B440="","Missing code",IF(C440="Unknown code","Unknown code",IF(COUNTIF($A$6:$A$505,A440)&gt;1,"Duplicate WO",""))))</f>
        <v/>
      </c>
    </row>
    <row r="441" customFormat="false" ht="15" hidden="false" customHeight="false" outlineLevel="0" collapsed="false">
      <c r="A441" s="46"/>
      <c r="B441" s="46"/>
      <c r="C441" s="53" t="str">
        <f aca="false">IF(B441="","",IFERROR(INDEX('Kitting Plan'!$D$5:$D$18,MATCH(B441,'Kitting Plan'!$C$5:$C$18,0)),"Unknown code"))</f>
        <v/>
      </c>
      <c r="D441" s="53" t="str">
        <f aca="false">IF(B441="","",IFERROR(INDEX('Kitting Plan'!$B$5:$B$18,MATCH(B441,'Kitting Plan'!$C$5:$C$18,0)),""))</f>
        <v/>
      </c>
      <c r="E441" s="45"/>
      <c r="F441" s="54" t="str">
        <f aca="false">IF(B441="","",IFERROR(IF(OR(E441="",E441="All"),INDEX('Kitting Plan'!$E$5:$E$18,MATCH(B441,'Kitting Plan'!$C$5:$C$18,0)),INDEX('Kitting Plan'!$H$5:$H$18,MATCH(B441,'Kitting Plan'!$C$5:$C$18,0))),""))</f>
        <v/>
      </c>
      <c r="G441" s="45"/>
      <c r="H441" s="55" t="str">
        <f aca="false">IF(B441="","",IF(G441="",F441,G441))</f>
        <v/>
      </c>
      <c r="I441" s="45"/>
      <c r="J441" s="56"/>
      <c r="K441" s="46"/>
      <c r="L441" s="53" t="str">
        <f aca="false">IF(A441="","",IF(B441="","Missing code",IF(C441="Unknown code","Unknown code",IF(COUNTIF($A$6:$A$505,A441)&gt;1,"Duplicate WO",""))))</f>
        <v/>
      </c>
    </row>
    <row r="442" customFormat="false" ht="15" hidden="false" customHeight="false" outlineLevel="0" collapsed="false">
      <c r="A442" s="46"/>
      <c r="B442" s="46"/>
      <c r="C442" s="53" t="str">
        <f aca="false">IF(B442="","",IFERROR(INDEX('Kitting Plan'!$D$5:$D$18,MATCH(B442,'Kitting Plan'!$C$5:$C$18,0)),"Unknown code"))</f>
        <v/>
      </c>
      <c r="D442" s="53" t="str">
        <f aca="false">IF(B442="","",IFERROR(INDEX('Kitting Plan'!$B$5:$B$18,MATCH(B442,'Kitting Plan'!$C$5:$C$18,0)),""))</f>
        <v/>
      </c>
      <c r="E442" s="45"/>
      <c r="F442" s="54" t="str">
        <f aca="false">IF(B442="","",IFERROR(IF(OR(E442="",E442="All"),INDEX('Kitting Plan'!$E$5:$E$18,MATCH(B442,'Kitting Plan'!$C$5:$C$18,0)),INDEX('Kitting Plan'!$H$5:$H$18,MATCH(B442,'Kitting Plan'!$C$5:$C$18,0))),""))</f>
        <v/>
      </c>
      <c r="G442" s="45"/>
      <c r="H442" s="55" t="str">
        <f aca="false">IF(B442="","",IF(G442="",F442,G442))</f>
        <v/>
      </c>
      <c r="I442" s="45"/>
      <c r="J442" s="56"/>
      <c r="K442" s="46"/>
      <c r="L442" s="53" t="str">
        <f aca="false">IF(A442="","",IF(B442="","Missing code",IF(C442="Unknown code","Unknown code",IF(COUNTIF($A$6:$A$505,A442)&gt;1,"Duplicate WO",""))))</f>
        <v/>
      </c>
    </row>
    <row r="443" customFormat="false" ht="15" hidden="false" customHeight="false" outlineLevel="0" collapsed="false">
      <c r="A443" s="46"/>
      <c r="B443" s="46"/>
      <c r="C443" s="53" t="str">
        <f aca="false">IF(B443="","",IFERROR(INDEX('Kitting Plan'!$D$5:$D$18,MATCH(B443,'Kitting Plan'!$C$5:$C$18,0)),"Unknown code"))</f>
        <v/>
      </c>
      <c r="D443" s="53" t="str">
        <f aca="false">IF(B443="","",IFERROR(INDEX('Kitting Plan'!$B$5:$B$18,MATCH(B443,'Kitting Plan'!$C$5:$C$18,0)),""))</f>
        <v/>
      </c>
      <c r="E443" s="45"/>
      <c r="F443" s="54" t="str">
        <f aca="false">IF(B443="","",IFERROR(IF(OR(E443="",E443="All"),INDEX('Kitting Plan'!$E$5:$E$18,MATCH(B443,'Kitting Plan'!$C$5:$C$18,0)),INDEX('Kitting Plan'!$H$5:$H$18,MATCH(B443,'Kitting Plan'!$C$5:$C$18,0))),""))</f>
        <v/>
      </c>
      <c r="G443" s="45"/>
      <c r="H443" s="55" t="str">
        <f aca="false">IF(B443="","",IF(G443="",F443,G443))</f>
        <v/>
      </c>
      <c r="I443" s="45"/>
      <c r="J443" s="56"/>
      <c r="K443" s="46"/>
      <c r="L443" s="53" t="str">
        <f aca="false">IF(A443="","",IF(B443="","Missing code",IF(C443="Unknown code","Unknown code",IF(COUNTIF($A$6:$A$505,A443)&gt;1,"Duplicate WO",""))))</f>
        <v/>
      </c>
    </row>
    <row r="444" customFormat="false" ht="15" hidden="false" customHeight="false" outlineLevel="0" collapsed="false">
      <c r="A444" s="46"/>
      <c r="B444" s="46"/>
      <c r="C444" s="53" t="str">
        <f aca="false">IF(B444="","",IFERROR(INDEX('Kitting Plan'!$D$5:$D$18,MATCH(B444,'Kitting Plan'!$C$5:$C$18,0)),"Unknown code"))</f>
        <v/>
      </c>
      <c r="D444" s="53" t="str">
        <f aca="false">IF(B444="","",IFERROR(INDEX('Kitting Plan'!$B$5:$B$18,MATCH(B444,'Kitting Plan'!$C$5:$C$18,0)),""))</f>
        <v/>
      </c>
      <c r="E444" s="45"/>
      <c r="F444" s="54" t="str">
        <f aca="false">IF(B444="","",IFERROR(IF(OR(E444="",E444="All"),INDEX('Kitting Plan'!$E$5:$E$18,MATCH(B444,'Kitting Plan'!$C$5:$C$18,0)),INDEX('Kitting Plan'!$H$5:$H$18,MATCH(B444,'Kitting Plan'!$C$5:$C$18,0))),""))</f>
        <v/>
      </c>
      <c r="G444" s="45"/>
      <c r="H444" s="55" t="str">
        <f aca="false">IF(B444="","",IF(G444="",F444,G444))</f>
        <v/>
      </c>
      <c r="I444" s="45"/>
      <c r="J444" s="56"/>
      <c r="K444" s="46"/>
      <c r="L444" s="53" t="str">
        <f aca="false">IF(A444="","",IF(B444="","Missing code",IF(C444="Unknown code","Unknown code",IF(COUNTIF($A$6:$A$505,A444)&gt;1,"Duplicate WO",""))))</f>
        <v/>
      </c>
    </row>
    <row r="445" customFormat="false" ht="15" hidden="false" customHeight="false" outlineLevel="0" collapsed="false">
      <c r="A445" s="46"/>
      <c r="B445" s="46"/>
      <c r="C445" s="53" t="str">
        <f aca="false">IF(B445="","",IFERROR(INDEX('Kitting Plan'!$D$5:$D$18,MATCH(B445,'Kitting Plan'!$C$5:$C$18,0)),"Unknown code"))</f>
        <v/>
      </c>
      <c r="D445" s="53" t="str">
        <f aca="false">IF(B445="","",IFERROR(INDEX('Kitting Plan'!$B$5:$B$18,MATCH(B445,'Kitting Plan'!$C$5:$C$18,0)),""))</f>
        <v/>
      </c>
      <c r="E445" s="45"/>
      <c r="F445" s="54" t="str">
        <f aca="false">IF(B445="","",IFERROR(IF(OR(E445="",E445="All"),INDEX('Kitting Plan'!$E$5:$E$18,MATCH(B445,'Kitting Plan'!$C$5:$C$18,0)),INDEX('Kitting Plan'!$H$5:$H$18,MATCH(B445,'Kitting Plan'!$C$5:$C$18,0))),""))</f>
        <v/>
      </c>
      <c r="G445" s="45"/>
      <c r="H445" s="55" t="str">
        <f aca="false">IF(B445="","",IF(G445="",F445,G445))</f>
        <v/>
      </c>
      <c r="I445" s="45"/>
      <c r="J445" s="56"/>
      <c r="K445" s="46"/>
      <c r="L445" s="53" t="str">
        <f aca="false">IF(A445="","",IF(B445="","Missing code",IF(C445="Unknown code","Unknown code",IF(COUNTIF($A$6:$A$505,A445)&gt;1,"Duplicate WO",""))))</f>
        <v/>
      </c>
    </row>
    <row r="446" customFormat="false" ht="15" hidden="false" customHeight="false" outlineLevel="0" collapsed="false">
      <c r="A446" s="46"/>
      <c r="B446" s="46"/>
      <c r="C446" s="53" t="str">
        <f aca="false">IF(B446="","",IFERROR(INDEX('Kitting Plan'!$D$5:$D$18,MATCH(B446,'Kitting Plan'!$C$5:$C$18,0)),"Unknown code"))</f>
        <v/>
      </c>
      <c r="D446" s="53" t="str">
        <f aca="false">IF(B446="","",IFERROR(INDEX('Kitting Plan'!$B$5:$B$18,MATCH(B446,'Kitting Plan'!$C$5:$C$18,0)),""))</f>
        <v/>
      </c>
      <c r="E446" s="45"/>
      <c r="F446" s="54" t="str">
        <f aca="false">IF(B446="","",IFERROR(IF(OR(E446="",E446="All"),INDEX('Kitting Plan'!$E$5:$E$18,MATCH(B446,'Kitting Plan'!$C$5:$C$18,0)),INDEX('Kitting Plan'!$H$5:$H$18,MATCH(B446,'Kitting Plan'!$C$5:$C$18,0))),""))</f>
        <v/>
      </c>
      <c r="G446" s="45"/>
      <c r="H446" s="55" t="str">
        <f aca="false">IF(B446="","",IF(G446="",F446,G446))</f>
        <v/>
      </c>
      <c r="I446" s="45"/>
      <c r="J446" s="56"/>
      <c r="K446" s="46"/>
      <c r="L446" s="53" t="str">
        <f aca="false">IF(A446="","",IF(B446="","Missing code",IF(C446="Unknown code","Unknown code",IF(COUNTIF($A$6:$A$505,A446)&gt;1,"Duplicate WO",""))))</f>
        <v/>
      </c>
    </row>
    <row r="447" customFormat="false" ht="15" hidden="false" customHeight="false" outlineLevel="0" collapsed="false">
      <c r="A447" s="46"/>
      <c r="B447" s="46"/>
      <c r="C447" s="53" t="str">
        <f aca="false">IF(B447="","",IFERROR(INDEX('Kitting Plan'!$D$5:$D$18,MATCH(B447,'Kitting Plan'!$C$5:$C$18,0)),"Unknown code"))</f>
        <v/>
      </c>
      <c r="D447" s="53" t="str">
        <f aca="false">IF(B447="","",IFERROR(INDEX('Kitting Plan'!$B$5:$B$18,MATCH(B447,'Kitting Plan'!$C$5:$C$18,0)),""))</f>
        <v/>
      </c>
      <c r="E447" s="45"/>
      <c r="F447" s="54" t="str">
        <f aca="false">IF(B447="","",IFERROR(IF(OR(E447="",E447="All"),INDEX('Kitting Plan'!$E$5:$E$18,MATCH(B447,'Kitting Plan'!$C$5:$C$18,0)),INDEX('Kitting Plan'!$H$5:$H$18,MATCH(B447,'Kitting Plan'!$C$5:$C$18,0))),""))</f>
        <v/>
      </c>
      <c r="G447" s="45"/>
      <c r="H447" s="55" t="str">
        <f aca="false">IF(B447="","",IF(G447="",F447,G447))</f>
        <v/>
      </c>
      <c r="I447" s="45"/>
      <c r="J447" s="56"/>
      <c r="K447" s="46"/>
      <c r="L447" s="53" t="str">
        <f aca="false">IF(A447="","",IF(B447="","Missing code",IF(C447="Unknown code","Unknown code",IF(COUNTIF($A$6:$A$505,A447)&gt;1,"Duplicate WO",""))))</f>
        <v/>
      </c>
    </row>
    <row r="448" customFormat="false" ht="15" hidden="false" customHeight="false" outlineLevel="0" collapsed="false">
      <c r="A448" s="46"/>
      <c r="B448" s="46"/>
      <c r="C448" s="53" t="str">
        <f aca="false">IF(B448="","",IFERROR(INDEX('Kitting Plan'!$D$5:$D$18,MATCH(B448,'Kitting Plan'!$C$5:$C$18,0)),"Unknown code"))</f>
        <v/>
      </c>
      <c r="D448" s="53" t="str">
        <f aca="false">IF(B448="","",IFERROR(INDEX('Kitting Plan'!$B$5:$B$18,MATCH(B448,'Kitting Plan'!$C$5:$C$18,0)),""))</f>
        <v/>
      </c>
      <c r="E448" s="45"/>
      <c r="F448" s="54" t="str">
        <f aca="false">IF(B448="","",IFERROR(IF(OR(E448="",E448="All"),INDEX('Kitting Plan'!$E$5:$E$18,MATCH(B448,'Kitting Plan'!$C$5:$C$18,0)),INDEX('Kitting Plan'!$H$5:$H$18,MATCH(B448,'Kitting Plan'!$C$5:$C$18,0))),""))</f>
        <v/>
      </c>
      <c r="G448" s="45"/>
      <c r="H448" s="55" t="str">
        <f aca="false">IF(B448="","",IF(G448="",F448,G448))</f>
        <v/>
      </c>
      <c r="I448" s="45"/>
      <c r="J448" s="56"/>
      <c r="K448" s="46"/>
      <c r="L448" s="53" t="str">
        <f aca="false">IF(A448="","",IF(B448="","Missing code",IF(C448="Unknown code","Unknown code",IF(COUNTIF($A$6:$A$505,A448)&gt;1,"Duplicate WO",""))))</f>
        <v/>
      </c>
    </row>
    <row r="449" customFormat="false" ht="15" hidden="false" customHeight="false" outlineLevel="0" collapsed="false">
      <c r="A449" s="46"/>
      <c r="B449" s="46"/>
      <c r="C449" s="53" t="str">
        <f aca="false">IF(B449="","",IFERROR(INDEX('Kitting Plan'!$D$5:$D$18,MATCH(B449,'Kitting Plan'!$C$5:$C$18,0)),"Unknown code"))</f>
        <v/>
      </c>
      <c r="D449" s="53" t="str">
        <f aca="false">IF(B449="","",IFERROR(INDEX('Kitting Plan'!$B$5:$B$18,MATCH(B449,'Kitting Plan'!$C$5:$C$18,0)),""))</f>
        <v/>
      </c>
      <c r="E449" s="45"/>
      <c r="F449" s="54" t="str">
        <f aca="false">IF(B449="","",IFERROR(IF(OR(E449="",E449="All"),INDEX('Kitting Plan'!$E$5:$E$18,MATCH(B449,'Kitting Plan'!$C$5:$C$18,0)),INDEX('Kitting Plan'!$H$5:$H$18,MATCH(B449,'Kitting Plan'!$C$5:$C$18,0))),""))</f>
        <v/>
      </c>
      <c r="G449" s="45"/>
      <c r="H449" s="55" t="str">
        <f aca="false">IF(B449="","",IF(G449="",F449,G449))</f>
        <v/>
      </c>
      <c r="I449" s="45"/>
      <c r="J449" s="56"/>
      <c r="K449" s="46"/>
      <c r="L449" s="53" t="str">
        <f aca="false">IF(A449="","",IF(B449="","Missing code",IF(C449="Unknown code","Unknown code",IF(COUNTIF($A$6:$A$505,A449)&gt;1,"Duplicate WO",""))))</f>
        <v/>
      </c>
    </row>
    <row r="450" customFormat="false" ht="15" hidden="false" customHeight="false" outlineLevel="0" collapsed="false">
      <c r="A450" s="46"/>
      <c r="B450" s="46"/>
      <c r="C450" s="53" t="str">
        <f aca="false">IF(B450="","",IFERROR(INDEX('Kitting Plan'!$D$5:$D$18,MATCH(B450,'Kitting Plan'!$C$5:$C$18,0)),"Unknown code"))</f>
        <v/>
      </c>
      <c r="D450" s="53" t="str">
        <f aca="false">IF(B450="","",IFERROR(INDEX('Kitting Plan'!$B$5:$B$18,MATCH(B450,'Kitting Plan'!$C$5:$C$18,0)),""))</f>
        <v/>
      </c>
      <c r="E450" s="45"/>
      <c r="F450" s="54" t="str">
        <f aca="false">IF(B450="","",IFERROR(IF(OR(E450="",E450="All"),INDEX('Kitting Plan'!$E$5:$E$18,MATCH(B450,'Kitting Plan'!$C$5:$C$18,0)),INDEX('Kitting Plan'!$H$5:$H$18,MATCH(B450,'Kitting Plan'!$C$5:$C$18,0))),""))</f>
        <v/>
      </c>
      <c r="G450" s="45"/>
      <c r="H450" s="55" t="str">
        <f aca="false">IF(B450="","",IF(G450="",F450,G450))</f>
        <v/>
      </c>
      <c r="I450" s="45"/>
      <c r="J450" s="56"/>
      <c r="K450" s="46"/>
      <c r="L450" s="53" t="str">
        <f aca="false">IF(A450="","",IF(B450="","Missing code",IF(C450="Unknown code","Unknown code",IF(COUNTIF($A$6:$A$505,A450)&gt;1,"Duplicate WO",""))))</f>
        <v/>
      </c>
    </row>
    <row r="451" customFormat="false" ht="15" hidden="false" customHeight="false" outlineLevel="0" collapsed="false">
      <c r="A451" s="46"/>
      <c r="B451" s="46"/>
      <c r="C451" s="53" t="str">
        <f aca="false">IF(B451="","",IFERROR(INDEX('Kitting Plan'!$D$5:$D$18,MATCH(B451,'Kitting Plan'!$C$5:$C$18,0)),"Unknown code"))</f>
        <v/>
      </c>
      <c r="D451" s="53" t="str">
        <f aca="false">IF(B451="","",IFERROR(INDEX('Kitting Plan'!$B$5:$B$18,MATCH(B451,'Kitting Plan'!$C$5:$C$18,0)),""))</f>
        <v/>
      </c>
      <c r="E451" s="45"/>
      <c r="F451" s="54" t="str">
        <f aca="false">IF(B451="","",IFERROR(IF(OR(E451="",E451="All"),INDEX('Kitting Plan'!$E$5:$E$18,MATCH(B451,'Kitting Plan'!$C$5:$C$18,0)),INDEX('Kitting Plan'!$H$5:$H$18,MATCH(B451,'Kitting Plan'!$C$5:$C$18,0))),""))</f>
        <v/>
      </c>
      <c r="G451" s="45"/>
      <c r="H451" s="55" t="str">
        <f aca="false">IF(B451="","",IF(G451="",F451,G451))</f>
        <v/>
      </c>
      <c r="I451" s="45"/>
      <c r="J451" s="56"/>
      <c r="K451" s="46"/>
      <c r="L451" s="53" t="str">
        <f aca="false">IF(A451="","",IF(B451="","Missing code",IF(C451="Unknown code","Unknown code",IF(COUNTIF($A$6:$A$505,A451)&gt;1,"Duplicate WO",""))))</f>
        <v/>
      </c>
    </row>
    <row r="452" customFormat="false" ht="15" hidden="false" customHeight="false" outlineLevel="0" collapsed="false">
      <c r="A452" s="46"/>
      <c r="B452" s="46"/>
      <c r="C452" s="53" t="str">
        <f aca="false">IF(B452="","",IFERROR(INDEX('Kitting Plan'!$D$5:$D$18,MATCH(B452,'Kitting Plan'!$C$5:$C$18,0)),"Unknown code"))</f>
        <v/>
      </c>
      <c r="D452" s="53" t="str">
        <f aca="false">IF(B452="","",IFERROR(INDEX('Kitting Plan'!$B$5:$B$18,MATCH(B452,'Kitting Plan'!$C$5:$C$18,0)),""))</f>
        <v/>
      </c>
      <c r="E452" s="45"/>
      <c r="F452" s="54" t="str">
        <f aca="false">IF(B452="","",IFERROR(IF(OR(E452="",E452="All"),INDEX('Kitting Plan'!$E$5:$E$18,MATCH(B452,'Kitting Plan'!$C$5:$C$18,0)),INDEX('Kitting Plan'!$H$5:$H$18,MATCH(B452,'Kitting Plan'!$C$5:$C$18,0))),""))</f>
        <v/>
      </c>
      <c r="G452" s="45"/>
      <c r="H452" s="55" t="str">
        <f aca="false">IF(B452="","",IF(G452="",F452,G452))</f>
        <v/>
      </c>
      <c r="I452" s="45"/>
      <c r="J452" s="56"/>
      <c r="K452" s="46"/>
      <c r="L452" s="53" t="str">
        <f aca="false">IF(A452="","",IF(B452="","Missing code",IF(C452="Unknown code","Unknown code",IF(COUNTIF($A$6:$A$505,A452)&gt;1,"Duplicate WO",""))))</f>
        <v/>
      </c>
    </row>
    <row r="453" customFormat="false" ht="15" hidden="false" customHeight="false" outlineLevel="0" collapsed="false">
      <c r="A453" s="46"/>
      <c r="B453" s="46"/>
      <c r="C453" s="53" t="str">
        <f aca="false">IF(B453="","",IFERROR(INDEX('Kitting Plan'!$D$5:$D$18,MATCH(B453,'Kitting Plan'!$C$5:$C$18,0)),"Unknown code"))</f>
        <v/>
      </c>
      <c r="D453" s="53" t="str">
        <f aca="false">IF(B453="","",IFERROR(INDEX('Kitting Plan'!$B$5:$B$18,MATCH(B453,'Kitting Plan'!$C$5:$C$18,0)),""))</f>
        <v/>
      </c>
      <c r="E453" s="45"/>
      <c r="F453" s="54" t="str">
        <f aca="false">IF(B453="","",IFERROR(IF(OR(E453="",E453="All"),INDEX('Kitting Plan'!$E$5:$E$18,MATCH(B453,'Kitting Plan'!$C$5:$C$18,0)),INDEX('Kitting Plan'!$H$5:$H$18,MATCH(B453,'Kitting Plan'!$C$5:$C$18,0))),""))</f>
        <v/>
      </c>
      <c r="G453" s="45"/>
      <c r="H453" s="55" t="str">
        <f aca="false">IF(B453="","",IF(G453="",F453,G453))</f>
        <v/>
      </c>
      <c r="I453" s="45"/>
      <c r="J453" s="56"/>
      <c r="K453" s="46"/>
      <c r="L453" s="53" t="str">
        <f aca="false">IF(A453="","",IF(B453="","Missing code",IF(C453="Unknown code","Unknown code",IF(COUNTIF($A$6:$A$505,A453)&gt;1,"Duplicate WO",""))))</f>
        <v/>
      </c>
    </row>
    <row r="454" customFormat="false" ht="15" hidden="false" customHeight="false" outlineLevel="0" collapsed="false">
      <c r="A454" s="46"/>
      <c r="B454" s="46"/>
      <c r="C454" s="53" t="str">
        <f aca="false">IF(B454="","",IFERROR(INDEX('Kitting Plan'!$D$5:$D$18,MATCH(B454,'Kitting Plan'!$C$5:$C$18,0)),"Unknown code"))</f>
        <v/>
      </c>
      <c r="D454" s="53" t="str">
        <f aca="false">IF(B454="","",IFERROR(INDEX('Kitting Plan'!$B$5:$B$18,MATCH(B454,'Kitting Plan'!$C$5:$C$18,0)),""))</f>
        <v/>
      </c>
      <c r="E454" s="45"/>
      <c r="F454" s="54" t="str">
        <f aca="false">IF(B454="","",IFERROR(IF(OR(E454="",E454="All"),INDEX('Kitting Plan'!$E$5:$E$18,MATCH(B454,'Kitting Plan'!$C$5:$C$18,0)),INDEX('Kitting Plan'!$H$5:$H$18,MATCH(B454,'Kitting Plan'!$C$5:$C$18,0))),""))</f>
        <v/>
      </c>
      <c r="G454" s="45"/>
      <c r="H454" s="55" t="str">
        <f aca="false">IF(B454="","",IF(G454="",F454,G454))</f>
        <v/>
      </c>
      <c r="I454" s="45"/>
      <c r="J454" s="56"/>
      <c r="K454" s="46"/>
      <c r="L454" s="53" t="str">
        <f aca="false">IF(A454="","",IF(B454="","Missing code",IF(C454="Unknown code","Unknown code",IF(COUNTIF($A$6:$A$505,A454)&gt;1,"Duplicate WO",""))))</f>
        <v/>
      </c>
    </row>
    <row r="455" customFormat="false" ht="15" hidden="false" customHeight="false" outlineLevel="0" collapsed="false">
      <c r="A455" s="46"/>
      <c r="B455" s="46"/>
      <c r="C455" s="53" t="str">
        <f aca="false">IF(B455="","",IFERROR(INDEX('Kitting Plan'!$D$5:$D$18,MATCH(B455,'Kitting Plan'!$C$5:$C$18,0)),"Unknown code"))</f>
        <v/>
      </c>
      <c r="D455" s="53" t="str">
        <f aca="false">IF(B455="","",IFERROR(INDEX('Kitting Plan'!$B$5:$B$18,MATCH(B455,'Kitting Plan'!$C$5:$C$18,0)),""))</f>
        <v/>
      </c>
      <c r="E455" s="45"/>
      <c r="F455" s="54" t="str">
        <f aca="false">IF(B455="","",IFERROR(IF(OR(E455="",E455="All"),INDEX('Kitting Plan'!$E$5:$E$18,MATCH(B455,'Kitting Plan'!$C$5:$C$18,0)),INDEX('Kitting Plan'!$H$5:$H$18,MATCH(B455,'Kitting Plan'!$C$5:$C$18,0))),""))</f>
        <v/>
      </c>
      <c r="G455" s="45"/>
      <c r="H455" s="55" t="str">
        <f aca="false">IF(B455="","",IF(G455="",F455,G455))</f>
        <v/>
      </c>
      <c r="I455" s="45"/>
      <c r="J455" s="56"/>
      <c r="K455" s="46"/>
      <c r="L455" s="53" t="str">
        <f aca="false">IF(A455="","",IF(B455="","Missing code",IF(C455="Unknown code","Unknown code",IF(COUNTIF($A$6:$A$505,A455)&gt;1,"Duplicate WO",""))))</f>
        <v/>
      </c>
    </row>
    <row r="456" customFormat="false" ht="15" hidden="false" customHeight="false" outlineLevel="0" collapsed="false">
      <c r="A456" s="46"/>
      <c r="B456" s="46"/>
      <c r="C456" s="53" t="str">
        <f aca="false">IF(B456="","",IFERROR(INDEX('Kitting Plan'!$D$5:$D$18,MATCH(B456,'Kitting Plan'!$C$5:$C$18,0)),"Unknown code"))</f>
        <v/>
      </c>
      <c r="D456" s="53" t="str">
        <f aca="false">IF(B456="","",IFERROR(INDEX('Kitting Plan'!$B$5:$B$18,MATCH(B456,'Kitting Plan'!$C$5:$C$18,0)),""))</f>
        <v/>
      </c>
      <c r="E456" s="45"/>
      <c r="F456" s="54" t="str">
        <f aca="false">IF(B456="","",IFERROR(IF(OR(E456="",E456="All"),INDEX('Kitting Plan'!$E$5:$E$18,MATCH(B456,'Kitting Plan'!$C$5:$C$18,0)),INDEX('Kitting Plan'!$H$5:$H$18,MATCH(B456,'Kitting Plan'!$C$5:$C$18,0))),""))</f>
        <v/>
      </c>
      <c r="G456" s="45"/>
      <c r="H456" s="55" t="str">
        <f aca="false">IF(B456="","",IF(G456="",F456,G456))</f>
        <v/>
      </c>
      <c r="I456" s="45"/>
      <c r="J456" s="56"/>
      <c r="K456" s="46"/>
      <c r="L456" s="53" t="str">
        <f aca="false">IF(A456="","",IF(B456="","Missing code",IF(C456="Unknown code","Unknown code",IF(COUNTIF($A$6:$A$505,A456)&gt;1,"Duplicate WO",""))))</f>
        <v/>
      </c>
    </row>
    <row r="457" customFormat="false" ht="15" hidden="false" customHeight="false" outlineLevel="0" collapsed="false">
      <c r="A457" s="46"/>
      <c r="B457" s="46"/>
      <c r="C457" s="53" t="str">
        <f aca="false">IF(B457="","",IFERROR(INDEX('Kitting Plan'!$D$5:$D$18,MATCH(B457,'Kitting Plan'!$C$5:$C$18,0)),"Unknown code"))</f>
        <v/>
      </c>
      <c r="D457" s="53" t="str">
        <f aca="false">IF(B457="","",IFERROR(INDEX('Kitting Plan'!$B$5:$B$18,MATCH(B457,'Kitting Plan'!$C$5:$C$18,0)),""))</f>
        <v/>
      </c>
      <c r="E457" s="45"/>
      <c r="F457" s="54" t="str">
        <f aca="false">IF(B457="","",IFERROR(IF(OR(E457="",E457="All"),INDEX('Kitting Plan'!$E$5:$E$18,MATCH(B457,'Kitting Plan'!$C$5:$C$18,0)),INDEX('Kitting Plan'!$H$5:$H$18,MATCH(B457,'Kitting Plan'!$C$5:$C$18,0))),""))</f>
        <v/>
      </c>
      <c r="G457" s="45"/>
      <c r="H457" s="55" t="str">
        <f aca="false">IF(B457="","",IF(G457="",F457,G457))</f>
        <v/>
      </c>
      <c r="I457" s="45"/>
      <c r="J457" s="56"/>
      <c r="K457" s="46"/>
      <c r="L457" s="53" t="str">
        <f aca="false">IF(A457="","",IF(B457="","Missing code",IF(C457="Unknown code","Unknown code",IF(COUNTIF($A$6:$A$505,A457)&gt;1,"Duplicate WO",""))))</f>
        <v/>
      </c>
    </row>
    <row r="458" customFormat="false" ht="15" hidden="false" customHeight="false" outlineLevel="0" collapsed="false">
      <c r="A458" s="46"/>
      <c r="B458" s="46"/>
      <c r="C458" s="53" t="str">
        <f aca="false">IF(B458="","",IFERROR(INDEX('Kitting Plan'!$D$5:$D$18,MATCH(B458,'Kitting Plan'!$C$5:$C$18,0)),"Unknown code"))</f>
        <v/>
      </c>
      <c r="D458" s="53" t="str">
        <f aca="false">IF(B458="","",IFERROR(INDEX('Kitting Plan'!$B$5:$B$18,MATCH(B458,'Kitting Plan'!$C$5:$C$18,0)),""))</f>
        <v/>
      </c>
      <c r="E458" s="45"/>
      <c r="F458" s="54" t="str">
        <f aca="false">IF(B458="","",IFERROR(IF(OR(E458="",E458="All"),INDEX('Kitting Plan'!$E$5:$E$18,MATCH(B458,'Kitting Plan'!$C$5:$C$18,0)),INDEX('Kitting Plan'!$H$5:$H$18,MATCH(B458,'Kitting Plan'!$C$5:$C$18,0))),""))</f>
        <v/>
      </c>
      <c r="G458" s="45"/>
      <c r="H458" s="55" t="str">
        <f aca="false">IF(B458="","",IF(G458="",F458,G458))</f>
        <v/>
      </c>
      <c r="I458" s="45"/>
      <c r="J458" s="56"/>
      <c r="K458" s="46"/>
      <c r="L458" s="53" t="str">
        <f aca="false">IF(A458="","",IF(B458="","Missing code",IF(C458="Unknown code","Unknown code",IF(COUNTIF($A$6:$A$505,A458)&gt;1,"Duplicate WO",""))))</f>
        <v/>
      </c>
    </row>
    <row r="459" customFormat="false" ht="15" hidden="false" customHeight="false" outlineLevel="0" collapsed="false">
      <c r="A459" s="46"/>
      <c r="B459" s="46"/>
      <c r="C459" s="53" t="str">
        <f aca="false">IF(B459="","",IFERROR(INDEX('Kitting Plan'!$D$5:$D$18,MATCH(B459,'Kitting Plan'!$C$5:$C$18,0)),"Unknown code"))</f>
        <v/>
      </c>
      <c r="D459" s="53" t="str">
        <f aca="false">IF(B459="","",IFERROR(INDEX('Kitting Plan'!$B$5:$B$18,MATCH(B459,'Kitting Plan'!$C$5:$C$18,0)),""))</f>
        <v/>
      </c>
      <c r="E459" s="45"/>
      <c r="F459" s="54" t="str">
        <f aca="false">IF(B459="","",IFERROR(IF(OR(E459="",E459="All"),INDEX('Kitting Plan'!$E$5:$E$18,MATCH(B459,'Kitting Plan'!$C$5:$C$18,0)),INDEX('Kitting Plan'!$H$5:$H$18,MATCH(B459,'Kitting Plan'!$C$5:$C$18,0))),""))</f>
        <v/>
      </c>
      <c r="G459" s="45"/>
      <c r="H459" s="55" t="str">
        <f aca="false">IF(B459="","",IF(G459="",F459,G459))</f>
        <v/>
      </c>
      <c r="I459" s="45"/>
      <c r="J459" s="56"/>
      <c r="K459" s="46"/>
      <c r="L459" s="53" t="str">
        <f aca="false">IF(A459="","",IF(B459="","Missing code",IF(C459="Unknown code","Unknown code",IF(COUNTIF($A$6:$A$505,A459)&gt;1,"Duplicate WO",""))))</f>
        <v/>
      </c>
    </row>
    <row r="460" customFormat="false" ht="15" hidden="false" customHeight="false" outlineLevel="0" collapsed="false">
      <c r="A460" s="46"/>
      <c r="B460" s="46"/>
      <c r="C460" s="53" t="str">
        <f aca="false">IF(B460="","",IFERROR(INDEX('Kitting Plan'!$D$5:$D$18,MATCH(B460,'Kitting Plan'!$C$5:$C$18,0)),"Unknown code"))</f>
        <v/>
      </c>
      <c r="D460" s="53" t="str">
        <f aca="false">IF(B460="","",IFERROR(INDEX('Kitting Plan'!$B$5:$B$18,MATCH(B460,'Kitting Plan'!$C$5:$C$18,0)),""))</f>
        <v/>
      </c>
      <c r="E460" s="45"/>
      <c r="F460" s="54" t="str">
        <f aca="false">IF(B460="","",IFERROR(IF(OR(E460="",E460="All"),INDEX('Kitting Plan'!$E$5:$E$18,MATCH(B460,'Kitting Plan'!$C$5:$C$18,0)),INDEX('Kitting Plan'!$H$5:$H$18,MATCH(B460,'Kitting Plan'!$C$5:$C$18,0))),""))</f>
        <v/>
      </c>
      <c r="G460" s="45"/>
      <c r="H460" s="55" t="str">
        <f aca="false">IF(B460="","",IF(G460="",F460,G460))</f>
        <v/>
      </c>
      <c r="I460" s="45"/>
      <c r="J460" s="56"/>
      <c r="K460" s="46"/>
      <c r="L460" s="53" t="str">
        <f aca="false">IF(A460="","",IF(B460="","Missing code",IF(C460="Unknown code","Unknown code",IF(COUNTIF($A$6:$A$505,A460)&gt;1,"Duplicate WO",""))))</f>
        <v/>
      </c>
    </row>
    <row r="461" customFormat="false" ht="15" hidden="false" customHeight="false" outlineLevel="0" collapsed="false">
      <c r="A461" s="46"/>
      <c r="B461" s="46"/>
      <c r="C461" s="53" t="str">
        <f aca="false">IF(B461="","",IFERROR(INDEX('Kitting Plan'!$D$5:$D$18,MATCH(B461,'Kitting Plan'!$C$5:$C$18,0)),"Unknown code"))</f>
        <v/>
      </c>
      <c r="D461" s="53" t="str">
        <f aca="false">IF(B461="","",IFERROR(INDEX('Kitting Plan'!$B$5:$B$18,MATCH(B461,'Kitting Plan'!$C$5:$C$18,0)),""))</f>
        <v/>
      </c>
      <c r="E461" s="45"/>
      <c r="F461" s="54" t="str">
        <f aca="false">IF(B461="","",IFERROR(IF(OR(E461="",E461="All"),INDEX('Kitting Plan'!$E$5:$E$18,MATCH(B461,'Kitting Plan'!$C$5:$C$18,0)),INDEX('Kitting Plan'!$H$5:$H$18,MATCH(B461,'Kitting Plan'!$C$5:$C$18,0))),""))</f>
        <v/>
      </c>
      <c r="G461" s="45"/>
      <c r="H461" s="55" t="str">
        <f aca="false">IF(B461="","",IF(G461="",F461,G461))</f>
        <v/>
      </c>
      <c r="I461" s="45"/>
      <c r="J461" s="56"/>
      <c r="K461" s="46"/>
      <c r="L461" s="53" t="str">
        <f aca="false">IF(A461="","",IF(B461="","Missing code",IF(C461="Unknown code","Unknown code",IF(COUNTIF($A$6:$A$505,A461)&gt;1,"Duplicate WO",""))))</f>
        <v/>
      </c>
    </row>
    <row r="462" customFormat="false" ht="15" hidden="false" customHeight="false" outlineLevel="0" collapsed="false">
      <c r="A462" s="46"/>
      <c r="B462" s="46"/>
      <c r="C462" s="53" t="str">
        <f aca="false">IF(B462="","",IFERROR(INDEX('Kitting Plan'!$D$5:$D$18,MATCH(B462,'Kitting Plan'!$C$5:$C$18,0)),"Unknown code"))</f>
        <v/>
      </c>
      <c r="D462" s="53" t="str">
        <f aca="false">IF(B462="","",IFERROR(INDEX('Kitting Plan'!$B$5:$B$18,MATCH(B462,'Kitting Plan'!$C$5:$C$18,0)),""))</f>
        <v/>
      </c>
      <c r="E462" s="45"/>
      <c r="F462" s="54" t="str">
        <f aca="false">IF(B462="","",IFERROR(IF(OR(E462="",E462="All"),INDEX('Kitting Plan'!$E$5:$E$18,MATCH(B462,'Kitting Plan'!$C$5:$C$18,0)),INDEX('Kitting Plan'!$H$5:$H$18,MATCH(B462,'Kitting Plan'!$C$5:$C$18,0))),""))</f>
        <v/>
      </c>
      <c r="G462" s="45"/>
      <c r="H462" s="55" t="str">
        <f aca="false">IF(B462="","",IF(G462="",F462,G462))</f>
        <v/>
      </c>
      <c r="I462" s="45"/>
      <c r="J462" s="56"/>
      <c r="K462" s="46"/>
      <c r="L462" s="53" t="str">
        <f aca="false">IF(A462="","",IF(B462="","Missing code",IF(C462="Unknown code","Unknown code",IF(COUNTIF($A$6:$A$505,A462)&gt;1,"Duplicate WO",""))))</f>
        <v/>
      </c>
    </row>
    <row r="463" customFormat="false" ht="15" hidden="false" customHeight="false" outlineLevel="0" collapsed="false">
      <c r="A463" s="46"/>
      <c r="B463" s="46"/>
      <c r="C463" s="53" t="str">
        <f aca="false">IF(B463="","",IFERROR(INDEX('Kitting Plan'!$D$5:$D$18,MATCH(B463,'Kitting Plan'!$C$5:$C$18,0)),"Unknown code"))</f>
        <v/>
      </c>
      <c r="D463" s="53" t="str">
        <f aca="false">IF(B463="","",IFERROR(INDEX('Kitting Plan'!$B$5:$B$18,MATCH(B463,'Kitting Plan'!$C$5:$C$18,0)),""))</f>
        <v/>
      </c>
      <c r="E463" s="45"/>
      <c r="F463" s="54" t="str">
        <f aca="false">IF(B463="","",IFERROR(IF(OR(E463="",E463="All"),INDEX('Kitting Plan'!$E$5:$E$18,MATCH(B463,'Kitting Plan'!$C$5:$C$18,0)),INDEX('Kitting Plan'!$H$5:$H$18,MATCH(B463,'Kitting Plan'!$C$5:$C$18,0))),""))</f>
        <v/>
      </c>
      <c r="G463" s="45"/>
      <c r="H463" s="55" t="str">
        <f aca="false">IF(B463="","",IF(G463="",F463,G463))</f>
        <v/>
      </c>
      <c r="I463" s="45"/>
      <c r="J463" s="56"/>
      <c r="K463" s="46"/>
      <c r="L463" s="53" t="str">
        <f aca="false">IF(A463="","",IF(B463="","Missing code",IF(C463="Unknown code","Unknown code",IF(COUNTIF($A$6:$A$505,A463)&gt;1,"Duplicate WO",""))))</f>
        <v/>
      </c>
    </row>
    <row r="464" customFormat="false" ht="15" hidden="false" customHeight="false" outlineLevel="0" collapsed="false">
      <c r="A464" s="46"/>
      <c r="B464" s="46"/>
      <c r="C464" s="53" t="str">
        <f aca="false">IF(B464="","",IFERROR(INDEX('Kitting Plan'!$D$5:$D$18,MATCH(B464,'Kitting Plan'!$C$5:$C$18,0)),"Unknown code"))</f>
        <v/>
      </c>
      <c r="D464" s="53" t="str">
        <f aca="false">IF(B464="","",IFERROR(INDEX('Kitting Plan'!$B$5:$B$18,MATCH(B464,'Kitting Plan'!$C$5:$C$18,0)),""))</f>
        <v/>
      </c>
      <c r="E464" s="45"/>
      <c r="F464" s="54" t="str">
        <f aca="false">IF(B464="","",IFERROR(IF(OR(E464="",E464="All"),INDEX('Kitting Plan'!$E$5:$E$18,MATCH(B464,'Kitting Plan'!$C$5:$C$18,0)),INDEX('Kitting Plan'!$H$5:$H$18,MATCH(B464,'Kitting Plan'!$C$5:$C$18,0))),""))</f>
        <v/>
      </c>
      <c r="G464" s="45"/>
      <c r="H464" s="55" t="str">
        <f aca="false">IF(B464="","",IF(G464="",F464,G464))</f>
        <v/>
      </c>
      <c r="I464" s="45"/>
      <c r="J464" s="56"/>
      <c r="K464" s="46"/>
      <c r="L464" s="53" t="str">
        <f aca="false">IF(A464="","",IF(B464="","Missing code",IF(C464="Unknown code","Unknown code",IF(COUNTIF($A$6:$A$505,A464)&gt;1,"Duplicate WO",""))))</f>
        <v/>
      </c>
    </row>
    <row r="465" customFormat="false" ht="15" hidden="false" customHeight="false" outlineLevel="0" collapsed="false">
      <c r="A465" s="46"/>
      <c r="B465" s="46"/>
      <c r="C465" s="53" t="str">
        <f aca="false">IF(B465="","",IFERROR(INDEX('Kitting Plan'!$D$5:$D$18,MATCH(B465,'Kitting Plan'!$C$5:$C$18,0)),"Unknown code"))</f>
        <v/>
      </c>
      <c r="D465" s="53" t="str">
        <f aca="false">IF(B465="","",IFERROR(INDEX('Kitting Plan'!$B$5:$B$18,MATCH(B465,'Kitting Plan'!$C$5:$C$18,0)),""))</f>
        <v/>
      </c>
      <c r="E465" s="45"/>
      <c r="F465" s="54" t="str">
        <f aca="false">IF(B465="","",IFERROR(IF(OR(E465="",E465="All"),INDEX('Kitting Plan'!$E$5:$E$18,MATCH(B465,'Kitting Plan'!$C$5:$C$18,0)),INDEX('Kitting Plan'!$H$5:$H$18,MATCH(B465,'Kitting Plan'!$C$5:$C$18,0))),""))</f>
        <v/>
      </c>
      <c r="G465" s="45"/>
      <c r="H465" s="55" t="str">
        <f aca="false">IF(B465="","",IF(G465="",F465,G465))</f>
        <v/>
      </c>
      <c r="I465" s="45"/>
      <c r="J465" s="56"/>
      <c r="K465" s="46"/>
      <c r="L465" s="53" t="str">
        <f aca="false">IF(A465="","",IF(B465="","Missing code",IF(C465="Unknown code","Unknown code",IF(COUNTIF($A$6:$A$505,A465)&gt;1,"Duplicate WO",""))))</f>
        <v/>
      </c>
    </row>
    <row r="466" customFormat="false" ht="15" hidden="false" customHeight="false" outlineLevel="0" collapsed="false">
      <c r="A466" s="46"/>
      <c r="B466" s="46"/>
      <c r="C466" s="53" t="str">
        <f aca="false">IF(B466="","",IFERROR(INDEX('Kitting Plan'!$D$5:$D$18,MATCH(B466,'Kitting Plan'!$C$5:$C$18,0)),"Unknown code"))</f>
        <v/>
      </c>
      <c r="D466" s="53" t="str">
        <f aca="false">IF(B466="","",IFERROR(INDEX('Kitting Plan'!$B$5:$B$18,MATCH(B466,'Kitting Plan'!$C$5:$C$18,0)),""))</f>
        <v/>
      </c>
      <c r="E466" s="45"/>
      <c r="F466" s="54" t="str">
        <f aca="false">IF(B466="","",IFERROR(IF(OR(E466="",E466="All"),INDEX('Kitting Plan'!$E$5:$E$18,MATCH(B466,'Kitting Plan'!$C$5:$C$18,0)),INDEX('Kitting Plan'!$H$5:$H$18,MATCH(B466,'Kitting Plan'!$C$5:$C$18,0))),""))</f>
        <v/>
      </c>
      <c r="G466" s="45"/>
      <c r="H466" s="55" t="str">
        <f aca="false">IF(B466="","",IF(G466="",F466,G466))</f>
        <v/>
      </c>
      <c r="I466" s="45"/>
      <c r="J466" s="56"/>
      <c r="K466" s="46"/>
      <c r="L466" s="53" t="str">
        <f aca="false">IF(A466="","",IF(B466="","Missing code",IF(C466="Unknown code","Unknown code",IF(COUNTIF($A$6:$A$505,A466)&gt;1,"Duplicate WO",""))))</f>
        <v/>
      </c>
    </row>
    <row r="467" customFormat="false" ht="15" hidden="false" customHeight="false" outlineLevel="0" collapsed="false">
      <c r="A467" s="46"/>
      <c r="B467" s="46"/>
      <c r="C467" s="53" t="str">
        <f aca="false">IF(B467="","",IFERROR(INDEX('Kitting Plan'!$D$5:$D$18,MATCH(B467,'Kitting Plan'!$C$5:$C$18,0)),"Unknown code"))</f>
        <v/>
      </c>
      <c r="D467" s="53" t="str">
        <f aca="false">IF(B467="","",IFERROR(INDEX('Kitting Plan'!$B$5:$B$18,MATCH(B467,'Kitting Plan'!$C$5:$C$18,0)),""))</f>
        <v/>
      </c>
      <c r="E467" s="45"/>
      <c r="F467" s="54" t="str">
        <f aca="false">IF(B467="","",IFERROR(IF(OR(E467="",E467="All"),INDEX('Kitting Plan'!$E$5:$E$18,MATCH(B467,'Kitting Plan'!$C$5:$C$18,0)),INDEX('Kitting Plan'!$H$5:$H$18,MATCH(B467,'Kitting Plan'!$C$5:$C$18,0))),""))</f>
        <v/>
      </c>
      <c r="G467" s="45"/>
      <c r="H467" s="55" t="str">
        <f aca="false">IF(B467="","",IF(G467="",F467,G467))</f>
        <v/>
      </c>
      <c r="I467" s="45"/>
      <c r="J467" s="56"/>
      <c r="K467" s="46"/>
      <c r="L467" s="53" t="str">
        <f aca="false">IF(A467="","",IF(B467="","Missing code",IF(C467="Unknown code","Unknown code",IF(COUNTIF($A$6:$A$505,A467)&gt;1,"Duplicate WO",""))))</f>
        <v/>
      </c>
    </row>
    <row r="468" customFormat="false" ht="15" hidden="false" customHeight="false" outlineLevel="0" collapsed="false">
      <c r="A468" s="46"/>
      <c r="B468" s="46"/>
      <c r="C468" s="53" t="str">
        <f aca="false">IF(B468="","",IFERROR(INDEX('Kitting Plan'!$D$5:$D$18,MATCH(B468,'Kitting Plan'!$C$5:$C$18,0)),"Unknown code"))</f>
        <v/>
      </c>
      <c r="D468" s="53" t="str">
        <f aca="false">IF(B468="","",IFERROR(INDEX('Kitting Plan'!$B$5:$B$18,MATCH(B468,'Kitting Plan'!$C$5:$C$18,0)),""))</f>
        <v/>
      </c>
      <c r="E468" s="45"/>
      <c r="F468" s="54" t="str">
        <f aca="false">IF(B468="","",IFERROR(IF(OR(E468="",E468="All"),INDEX('Kitting Plan'!$E$5:$E$18,MATCH(B468,'Kitting Plan'!$C$5:$C$18,0)),INDEX('Kitting Plan'!$H$5:$H$18,MATCH(B468,'Kitting Plan'!$C$5:$C$18,0))),""))</f>
        <v/>
      </c>
      <c r="G468" s="45"/>
      <c r="H468" s="55" t="str">
        <f aca="false">IF(B468="","",IF(G468="",F468,G468))</f>
        <v/>
      </c>
      <c r="I468" s="45"/>
      <c r="J468" s="56"/>
      <c r="K468" s="46"/>
      <c r="L468" s="53" t="str">
        <f aca="false">IF(A468="","",IF(B468="","Missing code",IF(C468="Unknown code","Unknown code",IF(COUNTIF($A$6:$A$505,A468)&gt;1,"Duplicate WO",""))))</f>
        <v/>
      </c>
    </row>
    <row r="469" customFormat="false" ht="15" hidden="false" customHeight="false" outlineLevel="0" collapsed="false">
      <c r="A469" s="46"/>
      <c r="B469" s="46"/>
      <c r="C469" s="53" t="str">
        <f aca="false">IF(B469="","",IFERROR(INDEX('Kitting Plan'!$D$5:$D$18,MATCH(B469,'Kitting Plan'!$C$5:$C$18,0)),"Unknown code"))</f>
        <v/>
      </c>
      <c r="D469" s="53" t="str">
        <f aca="false">IF(B469="","",IFERROR(INDEX('Kitting Plan'!$B$5:$B$18,MATCH(B469,'Kitting Plan'!$C$5:$C$18,0)),""))</f>
        <v/>
      </c>
      <c r="E469" s="45"/>
      <c r="F469" s="54" t="str">
        <f aca="false">IF(B469="","",IFERROR(IF(OR(E469="",E469="All"),INDEX('Kitting Plan'!$E$5:$E$18,MATCH(B469,'Kitting Plan'!$C$5:$C$18,0)),INDEX('Kitting Plan'!$H$5:$H$18,MATCH(B469,'Kitting Plan'!$C$5:$C$18,0))),""))</f>
        <v/>
      </c>
      <c r="G469" s="45"/>
      <c r="H469" s="55" t="str">
        <f aca="false">IF(B469="","",IF(G469="",F469,G469))</f>
        <v/>
      </c>
      <c r="I469" s="45"/>
      <c r="J469" s="56"/>
      <c r="K469" s="46"/>
      <c r="L469" s="53" t="str">
        <f aca="false">IF(A469="","",IF(B469="","Missing code",IF(C469="Unknown code","Unknown code",IF(COUNTIF($A$6:$A$505,A469)&gt;1,"Duplicate WO",""))))</f>
        <v/>
      </c>
    </row>
    <row r="470" customFormat="false" ht="15" hidden="false" customHeight="false" outlineLevel="0" collapsed="false">
      <c r="A470" s="46"/>
      <c r="B470" s="46"/>
      <c r="C470" s="53" t="str">
        <f aca="false">IF(B470="","",IFERROR(INDEX('Kitting Plan'!$D$5:$D$18,MATCH(B470,'Kitting Plan'!$C$5:$C$18,0)),"Unknown code"))</f>
        <v/>
      </c>
      <c r="D470" s="53" t="str">
        <f aca="false">IF(B470="","",IFERROR(INDEX('Kitting Plan'!$B$5:$B$18,MATCH(B470,'Kitting Plan'!$C$5:$C$18,0)),""))</f>
        <v/>
      </c>
      <c r="E470" s="45"/>
      <c r="F470" s="54" t="str">
        <f aca="false">IF(B470="","",IFERROR(IF(OR(E470="",E470="All"),INDEX('Kitting Plan'!$E$5:$E$18,MATCH(B470,'Kitting Plan'!$C$5:$C$18,0)),INDEX('Kitting Plan'!$H$5:$H$18,MATCH(B470,'Kitting Plan'!$C$5:$C$18,0))),""))</f>
        <v/>
      </c>
      <c r="G470" s="45"/>
      <c r="H470" s="55" t="str">
        <f aca="false">IF(B470="","",IF(G470="",F470,G470))</f>
        <v/>
      </c>
      <c r="I470" s="45"/>
      <c r="J470" s="56"/>
      <c r="K470" s="46"/>
      <c r="L470" s="53" t="str">
        <f aca="false">IF(A470="","",IF(B470="","Missing code",IF(C470="Unknown code","Unknown code",IF(COUNTIF($A$6:$A$505,A470)&gt;1,"Duplicate WO",""))))</f>
        <v/>
      </c>
    </row>
    <row r="471" customFormat="false" ht="15" hidden="false" customHeight="false" outlineLevel="0" collapsed="false">
      <c r="A471" s="46"/>
      <c r="B471" s="46"/>
      <c r="C471" s="53" t="str">
        <f aca="false">IF(B471="","",IFERROR(INDEX('Kitting Plan'!$D$5:$D$18,MATCH(B471,'Kitting Plan'!$C$5:$C$18,0)),"Unknown code"))</f>
        <v/>
      </c>
      <c r="D471" s="53" t="str">
        <f aca="false">IF(B471="","",IFERROR(INDEX('Kitting Plan'!$B$5:$B$18,MATCH(B471,'Kitting Plan'!$C$5:$C$18,0)),""))</f>
        <v/>
      </c>
      <c r="E471" s="45"/>
      <c r="F471" s="54" t="str">
        <f aca="false">IF(B471="","",IFERROR(IF(OR(E471="",E471="All"),INDEX('Kitting Plan'!$E$5:$E$18,MATCH(B471,'Kitting Plan'!$C$5:$C$18,0)),INDEX('Kitting Plan'!$H$5:$H$18,MATCH(B471,'Kitting Plan'!$C$5:$C$18,0))),""))</f>
        <v/>
      </c>
      <c r="G471" s="45"/>
      <c r="H471" s="55" t="str">
        <f aca="false">IF(B471="","",IF(G471="",F471,G471))</f>
        <v/>
      </c>
      <c r="I471" s="45"/>
      <c r="J471" s="56"/>
      <c r="K471" s="46"/>
      <c r="L471" s="53" t="str">
        <f aca="false">IF(A471="","",IF(B471="","Missing code",IF(C471="Unknown code","Unknown code",IF(COUNTIF($A$6:$A$505,A471)&gt;1,"Duplicate WO",""))))</f>
        <v/>
      </c>
    </row>
    <row r="472" customFormat="false" ht="15" hidden="false" customHeight="false" outlineLevel="0" collapsed="false">
      <c r="A472" s="46"/>
      <c r="B472" s="46"/>
      <c r="C472" s="53" t="str">
        <f aca="false">IF(B472="","",IFERROR(INDEX('Kitting Plan'!$D$5:$D$18,MATCH(B472,'Kitting Plan'!$C$5:$C$18,0)),"Unknown code"))</f>
        <v/>
      </c>
      <c r="D472" s="53" t="str">
        <f aca="false">IF(B472="","",IFERROR(INDEX('Kitting Plan'!$B$5:$B$18,MATCH(B472,'Kitting Plan'!$C$5:$C$18,0)),""))</f>
        <v/>
      </c>
      <c r="E472" s="45"/>
      <c r="F472" s="54" t="str">
        <f aca="false">IF(B472="","",IFERROR(IF(OR(E472="",E472="All"),INDEX('Kitting Plan'!$E$5:$E$18,MATCH(B472,'Kitting Plan'!$C$5:$C$18,0)),INDEX('Kitting Plan'!$H$5:$H$18,MATCH(B472,'Kitting Plan'!$C$5:$C$18,0))),""))</f>
        <v/>
      </c>
      <c r="G472" s="45"/>
      <c r="H472" s="55" t="str">
        <f aca="false">IF(B472="","",IF(G472="",F472,G472))</f>
        <v/>
      </c>
      <c r="I472" s="45"/>
      <c r="J472" s="56"/>
      <c r="K472" s="46"/>
      <c r="L472" s="53" t="str">
        <f aca="false">IF(A472="","",IF(B472="","Missing code",IF(C472="Unknown code","Unknown code",IF(COUNTIF($A$6:$A$505,A472)&gt;1,"Duplicate WO",""))))</f>
        <v/>
      </c>
    </row>
    <row r="473" customFormat="false" ht="15" hidden="false" customHeight="false" outlineLevel="0" collapsed="false">
      <c r="A473" s="46"/>
      <c r="B473" s="46"/>
      <c r="C473" s="53" t="str">
        <f aca="false">IF(B473="","",IFERROR(INDEX('Kitting Plan'!$D$5:$D$18,MATCH(B473,'Kitting Plan'!$C$5:$C$18,0)),"Unknown code"))</f>
        <v/>
      </c>
      <c r="D473" s="53" t="str">
        <f aca="false">IF(B473="","",IFERROR(INDEX('Kitting Plan'!$B$5:$B$18,MATCH(B473,'Kitting Plan'!$C$5:$C$18,0)),""))</f>
        <v/>
      </c>
      <c r="E473" s="45"/>
      <c r="F473" s="54" t="str">
        <f aca="false">IF(B473="","",IFERROR(IF(OR(E473="",E473="All"),INDEX('Kitting Plan'!$E$5:$E$18,MATCH(B473,'Kitting Plan'!$C$5:$C$18,0)),INDEX('Kitting Plan'!$H$5:$H$18,MATCH(B473,'Kitting Plan'!$C$5:$C$18,0))),""))</f>
        <v/>
      </c>
      <c r="G473" s="45"/>
      <c r="H473" s="55" t="str">
        <f aca="false">IF(B473="","",IF(G473="",F473,G473))</f>
        <v/>
      </c>
      <c r="I473" s="45"/>
      <c r="J473" s="56"/>
      <c r="K473" s="46"/>
      <c r="L473" s="53" t="str">
        <f aca="false">IF(A473="","",IF(B473="","Missing code",IF(C473="Unknown code","Unknown code",IF(COUNTIF($A$6:$A$505,A473)&gt;1,"Duplicate WO",""))))</f>
        <v/>
      </c>
    </row>
    <row r="474" customFormat="false" ht="15" hidden="false" customHeight="false" outlineLevel="0" collapsed="false">
      <c r="A474" s="46"/>
      <c r="B474" s="46"/>
      <c r="C474" s="53" t="str">
        <f aca="false">IF(B474="","",IFERROR(INDEX('Kitting Plan'!$D$5:$D$18,MATCH(B474,'Kitting Plan'!$C$5:$C$18,0)),"Unknown code"))</f>
        <v/>
      </c>
      <c r="D474" s="53" t="str">
        <f aca="false">IF(B474="","",IFERROR(INDEX('Kitting Plan'!$B$5:$B$18,MATCH(B474,'Kitting Plan'!$C$5:$C$18,0)),""))</f>
        <v/>
      </c>
      <c r="E474" s="45"/>
      <c r="F474" s="54" t="str">
        <f aca="false">IF(B474="","",IFERROR(IF(OR(E474="",E474="All"),INDEX('Kitting Plan'!$E$5:$E$18,MATCH(B474,'Kitting Plan'!$C$5:$C$18,0)),INDEX('Kitting Plan'!$H$5:$H$18,MATCH(B474,'Kitting Plan'!$C$5:$C$18,0))),""))</f>
        <v/>
      </c>
      <c r="G474" s="45"/>
      <c r="H474" s="55" t="str">
        <f aca="false">IF(B474="","",IF(G474="",F474,G474))</f>
        <v/>
      </c>
      <c r="I474" s="45"/>
      <c r="J474" s="56"/>
      <c r="K474" s="46"/>
      <c r="L474" s="53" t="str">
        <f aca="false">IF(A474="","",IF(B474="","Missing code",IF(C474="Unknown code","Unknown code",IF(COUNTIF($A$6:$A$505,A474)&gt;1,"Duplicate WO",""))))</f>
        <v/>
      </c>
    </row>
    <row r="475" customFormat="false" ht="15" hidden="false" customHeight="false" outlineLevel="0" collapsed="false">
      <c r="A475" s="46"/>
      <c r="B475" s="46"/>
      <c r="C475" s="53" t="str">
        <f aca="false">IF(B475="","",IFERROR(INDEX('Kitting Plan'!$D$5:$D$18,MATCH(B475,'Kitting Plan'!$C$5:$C$18,0)),"Unknown code"))</f>
        <v/>
      </c>
      <c r="D475" s="53" t="str">
        <f aca="false">IF(B475="","",IFERROR(INDEX('Kitting Plan'!$B$5:$B$18,MATCH(B475,'Kitting Plan'!$C$5:$C$18,0)),""))</f>
        <v/>
      </c>
      <c r="E475" s="45"/>
      <c r="F475" s="54" t="str">
        <f aca="false">IF(B475="","",IFERROR(IF(OR(E475="",E475="All"),INDEX('Kitting Plan'!$E$5:$E$18,MATCH(B475,'Kitting Plan'!$C$5:$C$18,0)),INDEX('Kitting Plan'!$H$5:$H$18,MATCH(B475,'Kitting Plan'!$C$5:$C$18,0))),""))</f>
        <v/>
      </c>
      <c r="G475" s="45"/>
      <c r="H475" s="55" t="str">
        <f aca="false">IF(B475="","",IF(G475="",F475,G475))</f>
        <v/>
      </c>
      <c r="I475" s="45"/>
      <c r="J475" s="56"/>
      <c r="K475" s="46"/>
      <c r="L475" s="53" t="str">
        <f aca="false">IF(A475="","",IF(B475="","Missing code",IF(C475="Unknown code","Unknown code",IF(COUNTIF($A$6:$A$505,A475)&gt;1,"Duplicate WO",""))))</f>
        <v/>
      </c>
    </row>
    <row r="476" customFormat="false" ht="15" hidden="false" customHeight="false" outlineLevel="0" collapsed="false">
      <c r="A476" s="46"/>
      <c r="B476" s="46"/>
      <c r="C476" s="53" t="str">
        <f aca="false">IF(B476="","",IFERROR(INDEX('Kitting Plan'!$D$5:$D$18,MATCH(B476,'Kitting Plan'!$C$5:$C$18,0)),"Unknown code"))</f>
        <v/>
      </c>
      <c r="D476" s="53" t="str">
        <f aca="false">IF(B476="","",IFERROR(INDEX('Kitting Plan'!$B$5:$B$18,MATCH(B476,'Kitting Plan'!$C$5:$C$18,0)),""))</f>
        <v/>
      </c>
      <c r="E476" s="45"/>
      <c r="F476" s="54" t="str">
        <f aca="false">IF(B476="","",IFERROR(IF(OR(E476="",E476="All"),INDEX('Kitting Plan'!$E$5:$E$18,MATCH(B476,'Kitting Plan'!$C$5:$C$18,0)),INDEX('Kitting Plan'!$H$5:$H$18,MATCH(B476,'Kitting Plan'!$C$5:$C$18,0))),""))</f>
        <v/>
      </c>
      <c r="G476" s="45"/>
      <c r="H476" s="55" t="str">
        <f aca="false">IF(B476="","",IF(G476="",F476,G476))</f>
        <v/>
      </c>
      <c r="I476" s="45"/>
      <c r="J476" s="56"/>
      <c r="K476" s="46"/>
      <c r="L476" s="53" t="str">
        <f aca="false">IF(A476="","",IF(B476="","Missing code",IF(C476="Unknown code","Unknown code",IF(COUNTIF($A$6:$A$505,A476)&gt;1,"Duplicate WO",""))))</f>
        <v/>
      </c>
    </row>
    <row r="477" customFormat="false" ht="15" hidden="false" customHeight="false" outlineLevel="0" collapsed="false">
      <c r="A477" s="46"/>
      <c r="B477" s="46"/>
      <c r="C477" s="53" t="str">
        <f aca="false">IF(B477="","",IFERROR(INDEX('Kitting Plan'!$D$5:$D$18,MATCH(B477,'Kitting Plan'!$C$5:$C$18,0)),"Unknown code"))</f>
        <v/>
      </c>
      <c r="D477" s="53" t="str">
        <f aca="false">IF(B477="","",IFERROR(INDEX('Kitting Plan'!$B$5:$B$18,MATCH(B477,'Kitting Plan'!$C$5:$C$18,0)),""))</f>
        <v/>
      </c>
      <c r="E477" s="45"/>
      <c r="F477" s="54" t="str">
        <f aca="false">IF(B477="","",IFERROR(IF(OR(E477="",E477="All"),INDEX('Kitting Plan'!$E$5:$E$18,MATCH(B477,'Kitting Plan'!$C$5:$C$18,0)),INDEX('Kitting Plan'!$H$5:$H$18,MATCH(B477,'Kitting Plan'!$C$5:$C$18,0))),""))</f>
        <v/>
      </c>
      <c r="G477" s="45"/>
      <c r="H477" s="55" t="str">
        <f aca="false">IF(B477="","",IF(G477="",F477,G477))</f>
        <v/>
      </c>
      <c r="I477" s="45"/>
      <c r="J477" s="56"/>
      <c r="K477" s="46"/>
      <c r="L477" s="53" t="str">
        <f aca="false">IF(A477="","",IF(B477="","Missing code",IF(C477="Unknown code","Unknown code",IF(COUNTIF($A$6:$A$505,A477)&gt;1,"Duplicate WO",""))))</f>
        <v/>
      </c>
    </row>
    <row r="478" customFormat="false" ht="15" hidden="false" customHeight="false" outlineLevel="0" collapsed="false">
      <c r="A478" s="46"/>
      <c r="B478" s="46"/>
      <c r="C478" s="53" t="str">
        <f aca="false">IF(B478="","",IFERROR(INDEX('Kitting Plan'!$D$5:$D$18,MATCH(B478,'Kitting Plan'!$C$5:$C$18,0)),"Unknown code"))</f>
        <v/>
      </c>
      <c r="D478" s="53" t="str">
        <f aca="false">IF(B478="","",IFERROR(INDEX('Kitting Plan'!$B$5:$B$18,MATCH(B478,'Kitting Plan'!$C$5:$C$18,0)),""))</f>
        <v/>
      </c>
      <c r="E478" s="45"/>
      <c r="F478" s="54" t="str">
        <f aca="false">IF(B478="","",IFERROR(IF(OR(E478="",E478="All"),INDEX('Kitting Plan'!$E$5:$E$18,MATCH(B478,'Kitting Plan'!$C$5:$C$18,0)),INDEX('Kitting Plan'!$H$5:$H$18,MATCH(B478,'Kitting Plan'!$C$5:$C$18,0))),""))</f>
        <v/>
      </c>
      <c r="G478" s="45"/>
      <c r="H478" s="55" t="str">
        <f aca="false">IF(B478="","",IF(G478="",F478,G478))</f>
        <v/>
      </c>
      <c r="I478" s="45"/>
      <c r="J478" s="56"/>
      <c r="K478" s="46"/>
      <c r="L478" s="53" t="str">
        <f aca="false">IF(A478="","",IF(B478="","Missing code",IF(C478="Unknown code","Unknown code",IF(COUNTIF($A$6:$A$505,A478)&gt;1,"Duplicate WO",""))))</f>
        <v/>
      </c>
    </row>
    <row r="479" customFormat="false" ht="15" hidden="false" customHeight="false" outlineLevel="0" collapsed="false">
      <c r="A479" s="46"/>
      <c r="B479" s="46"/>
      <c r="C479" s="53" t="str">
        <f aca="false">IF(B479="","",IFERROR(INDEX('Kitting Plan'!$D$5:$D$18,MATCH(B479,'Kitting Plan'!$C$5:$C$18,0)),"Unknown code"))</f>
        <v/>
      </c>
      <c r="D479" s="53" t="str">
        <f aca="false">IF(B479="","",IFERROR(INDEX('Kitting Plan'!$B$5:$B$18,MATCH(B479,'Kitting Plan'!$C$5:$C$18,0)),""))</f>
        <v/>
      </c>
      <c r="E479" s="45"/>
      <c r="F479" s="54" t="str">
        <f aca="false">IF(B479="","",IFERROR(IF(OR(E479="",E479="All"),INDEX('Kitting Plan'!$E$5:$E$18,MATCH(B479,'Kitting Plan'!$C$5:$C$18,0)),INDEX('Kitting Plan'!$H$5:$H$18,MATCH(B479,'Kitting Plan'!$C$5:$C$18,0))),""))</f>
        <v/>
      </c>
      <c r="G479" s="45"/>
      <c r="H479" s="55" t="str">
        <f aca="false">IF(B479="","",IF(G479="",F479,G479))</f>
        <v/>
      </c>
      <c r="I479" s="45"/>
      <c r="J479" s="56"/>
      <c r="K479" s="46"/>
      <c r="L479" s="53" t="str">
        <f aca="false">IF(A479="","",IF(B479="","Missing code",IF(C479="Unknown code","Unknown code",IF(COUNTIF($A$6:$A$505,A479)&gt;1,"Duplicate WO",""))))</f>
        <v/>
      </c>
    </row>
    <row r="480" customFormat="false" ht="15" hidden="false" customHeight="false" outlineLevel="0" collapsed="false">
      <c r="A480" s="46"/>
      <c r="B480" s="46"/>
      <c r="C480" s="53" t="str">
        <f aca="false">IF(B480="","",IFERROR(INDEX('Kitting Plan'!$D$5:$D$18,MATCH(B480,'Kitting Plan'!$C$5:$C$18,0)),"Unknown code"))</f>
        <v/>
      </c>
      <c r="D480" s="53" t="str">
        <f aca="false">IF(B480="","",IFERROR(INDEX('Kitting Plan'!$B$5:$B$18,MATCH(B480,'Kitting Plan'!$C$5:$C$18,0)),""))</f>
        <v/>
      </c>
      <c r="E480" s="45"/>
      <c r="F480" s="54" t="str">
        <f aca="false">IF(B480="","",IFERROR(IF(OR(E480="",E480="All"),INDEX('Kitting Plan'!$E$5:$E$18,MATCH(B480,'Kitting Plan'!$C$5:$C$18,0)),INDEX('Kitting Plan'!$H$5:$H$18,MATCH(B480,'Kitting Plan'!$C$5:$C$18,0))),""))</f>
        <v/>
      </c>
      <c r="G480" s="45"/>
      <c r="H480" s="55" t="str">
        <f aca="false">IF(B480="","",IF(G480="",F480,G480))</f>
        <v/>
      </c>
      <c r="I480" s="45"/>
      <c r="J480" s="56"/>
      <c r="K480" s="46"/>
      <c r="L480" s="53" t="str">
        <f aca="false">IF(A480="","",IF(B480="","Missing code",IF(C480="Unknown code","Unknown code",IF(COUNTIF($A$6:$A$505,A480)&gt;1,"Duplicate WO",""))))</f>
        <v/>
      </c>
    </row>
    <row r="481" customFormat="false" ht="15" hidden="false" customHeight="false" outlineLevel="0" collapsed="false">
      <c r="A481" s="46"/>
      <c r="B481" s="46"/>
      <c r="C481" s="53" t="str">
        <f aca="false">IF(B481="","",IFERROR(INDEX('Kitting Plan'!$D$5:$D$18,MATCH(B481,'Kitting Plan'!$C$5:$C$18,0)),"Unknown code"))</f>
        <v/>
      </c>
      <c r="D481" s="53" t="str">
        <f aca="false">IF(B481="","",IFERROR(INDEX('Kitting Plan'!$B$5:$B$18,MATCH(B481,'Kitting Plan'!$C$5:$C$18,0)),""))</f>
        <v/>
      </c>
      <c r="E481" s="45"/>
      <c r="F481" s="54" t="str">
        <f aca="false">IF(B481="","",IFERROR(IF(OR(E481="",E481="All"),INDEX('Kitting Plan'!$E$5:$E$18,MATCH(B481,'Kitting Plan'!$C$5:$C$18,0)),INDEX('Kitting Plan'!$H$5:$H$18,MATCH(B481,'Kitting Plan'!$C$5:$C$18,0))),""))</f>
        <v/>
      </c>
      <c r="G481" s="45"/>
      <c r="H481" s="55" t="str">
        <f aca="false">IF(B481="","",IF(G481="",F481,G481))</f>
        <v/>
      </c>
      <c r="I481" s="45"/>
      <c r="J481" s="56"/>
      <c r="K481" s="46"/>
      <c r="L481" s="53" t="str">
        <f aca="false">IF(A481="","",IF(B481="","Missing code",IF(C481="Unknown code","Unknown code",IF(COUNTIF($A$6:$A$505,A481)&gt;1,"Duplicate WO",""))))</f>
        <v/>
      </c>
    </row>
    <row r="482" customFormat="false" ht="15" hidden="false" customHeight="false" outlineLevel="0" collapsed="false">
      <c r="A482" s="46"/>
      <c r="B482" s="46"/>
      <c r="C482" s="53" t="str">
        <f aca="false">IF(B482="","",IFERROR(INDEX('Kitting Plan'!$D$5:$D$18,MATCH(B482,'Kitting Plan'!$C$5:$C$18,0)),"Unknown code"))</f>
        <v/>
      </c>
      <c r="D482" s="53" t="str">
        <f aca="false">IF(B482="","",IFERROR(INDEX('Kitting Plan'!$B$5:$B$18,MATCH(B482,'Kitting Plan'!$C$5:$C$18,0)),""))</f>
        <v/>
      </c>
      <c r="E482" s="45"/>
      <c r="F482" s="54" t="str">
        <f aca="false">IF(B482="","",IFERROR(IF(OR(E482="",E482="All"),INDEX('Kitting Plan'!$E$5:$E$18,MATCH(B482,'Kitting Plan'!$C$5:$C$18,0)),INDEX('Kitting Plan'!$H$5:$H$18,MATCH(B482,'Kitting Plan'!$C$5:$C$18,0))),""))</f>
        <v/>
      </c>
      <c r="G482" s="45"/>
      <c r="H482" s="55" t="str">
        <f aca="false">IF(B482="","",IF(G482="",F482,G482))</f>
        <v/>
      </c>
      <c r="I482" s="45"/>
      <c r="J482" s="56"/>
      <c r="K482" s="46"/>
      <c r="L482" s="53" t="str">
        <f aca="false">IF(A482="","",IF(B482="","Missing code",IF(C482="Unknown code","Unknown code",IF(COUNTIF($A$6:$A$505,A482)&gt;1,"Duplicate WO",""))))</f>
        <v/>
      </c>
    </row>
    <row r="483" customFormat="false" ht="15" hidden="false" customHeight="false" outlineLevel="0" collapsed="false">
      <c r="A483" s="46"/>
      <c r="B483" s="46"/>
      <c r="C483" s="53" t="str">
        <f aca="false">IF(B483="","",IFERROR(INDEX('Kitting Plan'!$D$5:$D$18,MATCH(B483,'Kitting Plan'!$C$5:$C$18,0)),"Unknown code"))</f>
        <v/>
      </c>
      <c r="D483" s="53" t="str">
        <f aca="false">IF(B483="","",IFERROR(INDEX('Kitting Plan'!$B$5:$B$18,MATCH(B483,'Kitting Plan'!$C$5:$C$18,0)),""))</f>
        <v/>
      </c>
      <c r="E483" s="45"/>
      <c r="F483" s="54" t="str">
        <f aca="false">IF(B483="","",IFERROR(IF(OR(E483="",E483="All"),INDEX('Kitting Plan'!$E$5:$E$18,MATCH(B483,'Kitting Plan'!$C$5:$C$18,0)),INDEX('Kitting Plan'!$H$5:$H$18,MATCH(B483,'Kitting Plan'!$C$5:$C$18,0))),""))</f>
        <v/>
      </c>
      <c r="G483" s="45"/>
      <c r="H483" s="55" t="str">
        <f aca="false">IF(B483="","",IF(G483="",F483,G483))</f>
        <v/>
      </c>
      <c r="I483" s="45"/>
      <c r="J483" s="56"/>
      <c r="K483" s="46"/>
      <c r="L483" s="53" t="str">
        <f aca="false">IF(A483="","",IF(B483="","Missing code",IF(C483="Unknown code","Unknown code",IF(COUNTIF($A$6:$A$505,A483)&gt;1,"Duplicate WO",""))))</f>
        <v/>
      </c>
    </row>
    <row r="484" customFormat="false" ht="15" hidden="false" customHeight="false" outlineLevel="0" collapsed="false">
      <c r="A484" s="46"/>
      <c r="B484" s="46"/>
      <c r="C484" s="53" t="str">
        <f aca="false">IF(B484="","",IFERROR(INDEX('Kitting Plan'!$D$5:$D$18,MATCH(B484,'Kitting Plan'!$C$5:$C$18,0)),"Unknown code"))</f>
        <v/>
      </c>
      <c r="D484" s="53" t="str">
        <f aca="false">IF(B484="","",IFERROR(INDEX('Kitting Plan'!$B$5:$B$18,MATCH(B484,'Kitting Plan'!$C$5:$C$18,0)),""))</f>
        <v/>
      </c>
      <c r="E484" s="45"/>
      <c r="F484" s="54" t="str">
        <f aca="false">IF(B484="","",IFERROR(IF(OR(E484="",E484="All"),INDEX('Kitting Plan'!$E$5:$E$18,MATCH(B484,'Kitting Plan'!$C$5:$C$18,0)),INDEX('Kitting Plan'!$H$5:$H$18,MATCH(B484,'Kitting Plan'!$C$5:$C$18,0))),""))</f>
        <v/>
      </c>
      <c r="G484" s="45"/>
      <c r="H484" s="55" t="str">
        <f aca="false">IF(B484="","",IF(G484="",F484,G484))</f>
        <v/>
      </c>
      <c r="I484" s="45"/>
      <c r="J484" s="56"/>
      <c r="K484" s="46"/>
      <c r="L484" s="53" t="str">
        <f aca="false">IF(A484="","",IF(B484="","Missing code",IF(C484="Unknown code","Unknown code",IF(COUNTIF($A$6:$A$505,A484)&gt;1,"Duplicate WO",""))))</f>
        <v/>
      </c>
    </row>
    <row r="485" customFormat="false" ht="15" hidden="false" customHeight="false" outlineLevel="0" collapsed="false">
      <c r="A485" s="46"/>
      <c r="B485" s="46"/>
      <c r="C485" s="53" t="str">
        <f aca="false">IF(B485="","",IFERROR(INDEX('Kitting Plan'!$D$5:$D$18,MATCH(B485,'Kitting Plan'!$C$5:$C$18,0)),"Unknown code"))</f>
        <v/>
      </c>
      <c r="D485" s="53" t="str">
        <f aca="false">IF(B485="","",IFERROR(INDEX('Kitting Plan'!$B$5:$B$18,MATCH(B485,'Kitting Plan'!$C$5:$C$18,0)),""))</f>
        <v/>
      </c>
      <c r="E485" s="45"/>
      <c r="F485" s="54" t="str">
        <f aca="false">IF(B485="","",IFERROR(IF(OR(E485="",E485="All"),INDEX('Kitting Plan'!$E$5:$E$18,MATCH(B485,'Kitting Plan'!$C$5:$C$18,0)),INDEX('Kitting Plan'!$H$5:$H$18,MATCH(B485,'Kitting Plan'!$C$5:$C$18,0))),""))</f>
        <v/>
      </c>
      <c r="G485" s="45"/>
      <c r="H485" s="55" t="str">
        <f aca="false">IF(B485="","",IF(G485="",F485,G485))</f>
        <v/>
      </c>
      <c r="I485" s="45"/>
      <c r="J485" s="56"/>
      <c r="K485" s="46"/>
      <c r="L485" s="53" t="str">
        <f aca="false">IF(A485="","",IF(B485="","Missing code",IF(C485="Unknown code","Unknown code",IF(COUNTIF($A$6:$A$505,A485)&gt;1,"Duplicate WO",""))))</f>
        <v/>
      </c>
    </row>
    <row r="486" customFormat="false" ht="15" hidden="false" customHeight="false" outlineLevel="0" collapsed="false">
      <c r="A486" s="46"/>
      <c r="B486" s="46"/>
      <c r="C486" s="53" t="str">
        <f aca="false">IF(B486="","",IFERROR(INDEX('Kitting Plan'!$D$5:$D$18,MATCH(B486,'Kitting Plan'!$C$5:$C$18,0)),"Unknown code"))</f>
        <v/>
      </c>
      <c r="D486" s="53" t="str">
        <f aca="false">IF(B486="","",IFERROR(INDEX('Kitting Plan'!$B$5:$B$18,MATCH(B486,'Kitting Plan'!$C$5:$C$18,0)),""))</f>
        <v/>
      </c>
      <c r="E486" s="45"/>
      <c r="F486" s="54" t="str">
        <f aca="false">IF(B486="","",IFERROR(IF(OR(E486="",E486="All"),INDEX('Kitting Plan'!$E$5:$E$18,MATCH(B486,'Kitting Plan'!$C$5:$C$18,0)),INDEX('Kitting Plan'!$H$5:$H$18,MATCH(B486,'Kitting Plan'!$C$5:$C$18,0))),""))</f>
        <v/>
      </c>
      <c r="G486" s="45"/>
      <c r="H486" s="55" t="str">
        <f aca="false">IF(B486="","",IF(G486="",F486,G486))</f>
        <v/>
      </c>
      <c r="I486" s="45"/>
      <c r="J486" s="56"/>
      <c r="K486" s="46"/>
      <c r="L486" s="53" t="str">
        <f aca="false">IF(A486="","",IF(B486="","Missing code",IF(C486="Unknown code","Unknown code",IF(COUNTIF($A$6:$A$505,A486)&gt;1,"Duplicate WO",""))))</f>
        <v/>
      </c>
    </row>
    <row r="487" customFormat="false" ht="15" hidden="false" customHeight="false" outlineLevel="0" collapsed="false">
      <c r="A487" s="46"/>
      <c r="B487" s="46"/>
      <c r="C487" s="53" t="str">
        <f aca="false">IF(B487="","",IFERROR(INDEX('Kitting Plan'!$D$5:$D$18,MATCH(B487,'Kitting Plan'!$C$5:$C$18,0)),"Unknown code"))</f>
        <v/>
      </c>
      <c r="D487" s="53" t="str">
        <f aca="false">IF(B487="","",IFERROR(INDEX('Kitting Plan'!$B$5:$B$18,MATCH(B487,'Kitting Plan'!$C$5:$C$18,0)),""))</f>
        <v/>
      </c>
      <c r="E487" s="45"/>
      <c r="F487" s="54" t="str">
        <f aca="false">IF(B487="","",IFERROR(IF(OR(E487="",E487="All"),INDEX('Kitting Plan'!$E$5:$E$18,MATCH(B487,'Kitting Plan'!$C$5:$C$18,0)),INDEX('Kitting Plan'!$H$5:$H$18,MATCH(B487,'Kitting Plan'!$C$5:$C$18,0))),""))</f>
        <v/>
      </c>
      <c r="G487" s="45"/>
      <c r="H487" s="55" t="str">
        <f aca="false">IF(B487="","",IF(G487="",F487,G487))</f>
        <v/>
      </c>
      <c r="I487" s="45"/>
      <c r="J487" s="56"/>
      <c r="K487" s="46"/>
      <c r="L487" s="53" t="str">
        <f aca="false">IF(A487="","",IF(B487="","Missing code",IF(C487="Unknown code","Unknown code",IF(COUNTIF($A$6:$A$505,A487)&gt;1,"Duplicate WO",""))))</f>
        <v/>
      </c>
    </row>
    <row r="488" customFormat="false" ht="15" hidden="false" customHeight="false" outlineLevel="0" collapsed="false">
      <c r="A488" s="46"/>
      <c r="B488" s="46"/>
      <c r="C488" s="53" t="str">
        <f aca="false">IF(B488="","",IFERROR(INDEX('Kitting Plan'!$D$5:$D$18,MATCH(B488,'Kitting Plan'!$C$5:$C$18,0)),"Unknown code"))</f>
        <v/>
      </c>
      <c r="D488" s="53" t="str">
        <f aca="false">IF(B488="","",IFERROR(INDEX('Kitting Plan'!$B$5:$B$18,MATCH(B488,'Kitting Plan'!$C$5:$C$18,0)),""))</f>
        <v/>
      </c>
      <c r="E488" s="45"/>
      <c r="F488" s="54" t="str">
        <f aca="false">IF(B488="","",IFERROR(IF(OR(E488="",E488="All"),INDEX('Kitting Plan'!$E$5:$E$18,MATCH(B488,'Kitting Plan'!$C$5:$C$18,0)),INDEX('Kitting Plan'!$H$5:$H$18,MATCH(B488,'Kitting Plan'!$C$5:$C$18,0))),""))</f>
        <v/>
      </c>
      <c r="G488" s="45"/>
      <c r="H488" s="55" t="str">
        <f aca="false">IF(B488="","",IF(G488="",F488,G488))</f>
        <v/>
      </c>
      <c r="I488" s="45"/>
      <c r="J488" s="56"/>
      <c r="K488" s="46"/>
      <c r="L488" s="53" t="str">
        <f aca="false">IF(A488="","",IF(B488="","Missing code",IF(C488="Unknown code","Unknown code",IF(COUNTIF($A$6:$A$505,A488)&gt;1,"Duplicate WO",""))))</f>
        <v/>
      </c>
    </row>
    <row r="489" customFormat="false" ht="15" hidden="false" customHeight="false" outlineLevel="0" collapsed="false">
      <c r="A489" s="46"/>
      <c r="B489" s="46"/>
      <c r="C489" s="53" t="str">
        <f aca="false">IF(B489="","",IFERROR(INDEX('Kitting Plan'!$D$5:$D$18,MATCH(B489,'Kitting Plan'!$C$5:$C$18,0)),"Unknown code"))</f>
        <v/>
      </c>
      <c r="D489" s="53" t="str">
        <f aca="false">IF(B489="","",IFERROR(INDEX('Kitting Plan'!$B$5:$B$18,MATCH(B489,'Kitting Plan'!$C$5:$C$18,0)),""))</f>
        <v/>
      </c>
      <c r="E489" s="45"/>
      <c r="F489" s="54" t="str">
        <f aca="false">IF(B489="","",IFERROR(IF(OR(E489="",E489="All"),INDEX('Kitting Plan'!$E$5:$E$18,MATCH(B489,'Kitting Plan'!$C$5:$C$18,0)),INDEX('Kitting Plan'!$H$5:$H$18,MATCH(B489,'Kitting Plan'!$C$5:$C$18,0))),""))</f>
        <v/>
      </c>
      <c r="G489" s="45"/>
      <c r="H489" s="55" t="str">
        <f aca="false">IF(B489="","",IF(G489="",F489,G489))</f>
        <v/>
      </c>
      <c r="I489" s="45"/>
      <c r="J489" s="56"/>
      <c r="K489" s="46"/>
      <c r="L489" s="53" t="str">
        <f aca="false">IF(A489="","",IF(B489="","Missing code",IF(C489="Unknown code","Unknown code",IF(COUNTIF($A$6:$A$505,A489)&gt;1,"Duplicate WO",""))))</f>
        <v/>
      </c>
    </row>
    <row r="490" customFormat="false" ht="15" hidden="false" customHeight="false" outlineLevel="0" collapsed="false">
      <c r="A490" s="46"/>
      <c r="B490" s="46"/>
      <c r="C490" s="53" t="str">
        <f aca="false">IF(B490="","",IFERROR(INDEX('Kitting Plan'!$D$5:$D$18,MATCH(B490,'Kitting Plan'!$C$5:$C$18,0)),"Unknown code"))</f>
        <v/>
      </c>
      <c r="D490" s="53" t="str">
        <f aca="false">IF(B490="","",IFERROR(INDEX('Kitting Plan'!$B$5:$B$18,MATCH(B490,'Kitting Plan'!$C$5:$C$18,0)),""))</f>
        <v/>
      </c>
      <c r="E490" s="45"/>
      <c r="F490" s="54" t="str">
        <f aca="false">IF(B490="","",IFERROR(IF(OR(E490="",E490="All"),INDEX('Kitting Plan'!$E$5:$E$18,MATCH(B490,'Kitting Plan'!$C$5:$C$18,0)),INDEX('Kitting Plan'!$H$5:$H$18,MATCH(B490,'Kitting Plan'!$C$5:$C$18,0))),""))</f>
        <v/>
      </c>
      <c r="G490" s="45"/>
      <c r="H490" s="55" t="str">
        <f aca="false">IF(B490="","",IF(G490="",F490,G490))</f>
        <v/>
      </c>
      <c r="I490" s="45"/>
      <c r="J490" s="56"/>
      <c r="K490" s="46"/>
      <c r="L490" s="53" t="str">
        <f aca="false">IF(A490="","",IF(B490="","Missing code",IF(C490="Unknown code","Unknown code",IF(COUNTIF($A$6:$A$505,A490)&gt;1,"Duplicate WO",""))))</f>
        <v/>
      </c>
    </row>
    <row r="491" customFormat="false" ht="15" hidden="false" customHeight="false" outlineLevel="0" collapsed="false">
      <c r="A491" s="46"/>
      <c r="B491" s="46"/>
      <c r="C491" s="53" t="str">
        <f aca="false">IF(B491="","",IFERROR(INDEX('Kitting Plan'!$D$5:$D$18,MATCH(B491,'Kitting Plan'!$C$5:$C$18,0)),"Unknown code"))</f>
        <v/>
      </c>
      <c r="D491" s="53" t="str">
        <f aca="false">IF(B491="","",IFERROR(INDEX('Kitting Plan'!$B$5:$B$18,MATCH(B491,'Kitting Plan'!$C$5:$C$18,0)),""))</f>
        <v/>
      </c>
      <c r="E491" s="45"/>
      <c r="F491" s="54" t="str">
        <f aca="false">IF(B491="","",IFERROR(IF(OR(E491="",E491="All"),INDEX('Kitting Plan'!$E$5:$E$18,MATCH(B491,'Kitting Plan'!$C$5:$C$18,0)),INDEX('Kitting Plan'!$H$5:$H$18,MATCH(B491,'Kitting Plan'!$C$5:$C$18,0))),""))</f>
        <v/>
      </c>
      <c r="G491" s="45"/>
      <c r="H491" s="55" t="str">
        <f aca="false">IF(B491="","",IF(G491="",F491,G491))</f>
        <v/>
      </c>
      <c r="I491" s="45"/>
      <c r="J491" s="56"/>
      <c r="K491" s="46"/>
      <c r="L491" s="53" t="str">
        <f aca="false">IF(A491="","",IF(B491="","Missing code",IF(C491="Unknown code","Unknown code",IF(COUNTIF($A$6:$A$505,A491)&gt;1,"Duplicate WO",""))))</f>
        <v/>
      </c>
    </row>
    <row r="492" customFormat="false" ht="15" hidden="false" customHeight="false" outlineLevel="0" collapsed="false">
      <c r="A492" s="46"/>
      <c r="B492" s="46"/>
      <c r="C492" s="53" t="str">
        <f aca="false">IF(B492="","",IFERROR(INDEX('Kitting Plan'!$D$5:$D$18,MATCH(B492,'Kitting Plan'!$C$5:$C$18,0)),"Unknown code"))</f>
        <v/>
      </c>
      <c r="D492" s="53" t="str">
        <f aca="false">IF(B492="","",IFERROR(INDEX('Kitting Plan'!$B$5:$B$18,MATCH(B492,'Kitting Plan'!$C$5:$C$18,0)),""))</f>
        <v/>
      </c>
      <c r="E492" s="45"/>
      <c r="F492" s="54" t="str">
        <f aca="false">IF(B492="","",IFERROR(IF(OR(E492="",E492="All"),INDEX('Kitting Plan'!$E$5:$E$18,MATCH(B492,'Kitting Plan'!$C$5:$C$18,0)),INDEX('Kitting Plan'!$H$5:$H$18,MATCH(B492,'Kitting Plan'!$C$5:$C$18,0))),""))</f>
        <v/>
      </c>
      <c r="G492" s="45"/>
      <c r="H492" s="55" t="str">
        <f aca="false">IF(B492="","",IF(G492="",F492,G492))</f>
        <v/>
      </c>
      <c r="I492" s="45"/>
      <c r="J492" s="56"/>
      <c r="K492" s="46"/>
      <c r="L492" s="53" t="str">
        <f aca="false">IF(A492="","",IF(B492="","Missing code",IF(C492="Unknown code","Unknown code",IF(COUNTIF($A$6:$A$505,A492)&gt;1,"Duplicate WO",""))))</f>
        <v/>
      </c>
    </row>
    <row r="493" customFormat="false" ht="15" hidden="false" customHeight="false" outlineLevel="0" collapsed="false">
      <c r="A493" s="46"/>
      <c r="B493" s="46"/>
      <c r="C493" s="53" t="str">
        <f aca="false">IF(B493="","",IFERROR(INDEX('Kitting Plan'!$D$5:$D$18,MATCH(B493,'Kitting Plan'!$C$5:$C$18,0)),"Unknown code"))</f>
        <v/>
      </c>
      <c r="D493" s="53" t="str">
        <f aca="false">IF(B493="","",IFERROR(INDEX('Kitting Plan'!$B$5:$B$18,MATCH(B493,'Kitting Plan'!$C$5:$C$18,0)),""))</f>
        <v/>
      </c>
      <c r="E493" s="45"/>
      <c r="F493" s="54" t="str">
        <f aca="false">IF(B493="","",IFERROR(IF(OR(E493="",E493="All"),INDEX('Kitting Plan'!$E$5:$E$18,MATCH(B493,'Kitting Plan'!$C$5:$C$18,0)),INDEX('Kitting Plan'!$H$5:$H$18,MATCH(B493,'Kitting Plan'!$C$5:$C$18,0))),""))</f>
        <v/>
      </c>
      <c r="G493" s="45"/>
      <c r="H493" s="55" t="str">
        <f aca="false">IF(B493="","",IF(G493="",F493,G493))</f>
        <v/>
      </c>
      <c r="I493" s="45"/>
      <c r="J493" s="56"/>
      <c r="K493" s="46"/>
      <c r="L493" s="53" t="str">
        <f aca="false">IF(A493="","",IF(B493="","Missing code",IF(C493="Unknown code","Unknown code",IF(COUNTIF($A$6:$A$505,A493)&gt;1,"Duplicate WO",""))))</f>
        <v/>
      </c>
    </row>
    <row r="494" customFormat="false" ht="15" hidden="false" customHeight="false" outlineLevel="0" collapsed="false">
      <c r="A494" s="46"/>
      <c r="B494" s="46"/>
      <c r="C494" s="53" t="str">
        <f aca="false">IF(B494="","",IFERROR(INDEX('Kitting Plan'!$D$5:$D$18,MATCH(B494,'Kitting Plan'!$C$5:$C$18,0)),"Unknown code"))</f>
        <v/>
      </c>
      <c r="D494" s="53" t="str">
        <f aca="false">IF(B494="","",IFERROR(INDEX('Kitting Plan'!$B$5:$B$18,MATCH(B494,'Kitting Plan'!$C$5:$C$18,0)),""))</f>
        <v/>
      </c>
      <c r="E494" s="45"/>
      <c r="F494" s="54" t="str">
        <f aca="false">IF(B494="","",IFERROR(IF(OR(E494="",E494="All"),INDEX('Kitting Plan'!$E$5:$E$18,MATCH(B494,'Kitting Plan'!$C$5:$C$18,0)),INDEX('Kitting Plan'!$H$5:$H$18,MATCH(B494,'Kitting Plan'!$C$5:$C$18,0))),""))</f>
        <v/>
      </c>
      <c r="G494" s="45"/>
      <c r="H494" s="55" t="str">
        <f aca="false">IF(B494="","",IF(G494="",F494,G494))</f>
        <v/>
      </c>
      <c r="I494" s="45"/>
      <c r="J494" s="56"/>
      <c r="K494" s="46"/>
      <c r="L494" s="53" t="str">
        <f aca="false">IF(A494="","",IF(B494="","Missing code",IF(C494="Unknown code","Unknown code",IF(COUNTIF($A$6:$A$505,A494)&gt;1,"Duplicate WO",""))))</f>
        <v/>
      </c>
    </row>
    <row r="495" customFormat="false" ht="15" hidden="false" customHeight="false" outlineLevel="0" collapsed="false">
      <c r="A495" s="46"/>
      <c r="B495" s="46"/>
      <c r="C495" s="53" t="str">
        <f aca="false">IF(B495="","",IFERROR(INDEX('Kitting Plan'!$D$5:$D$18,MATCH(B495,'Kitting Plan'!$C$5:$C$18,0)),"Unknown code"))</f>
        <v/>
      </c>
      <c r="D495" s="53" t="str">
        <f aca="false">IF(B495="","",IFERROR(INDEX('Kitting Plan'!$B$5:$B$18,MATCH(B495,'Kitting Plan'!$C$5:$C$18,0)),""))</f>
        <v/>
      </c>
      <c r="E495" s="45"/>
      <c r="F495" s="54" t="str">
        <f aca="false">IF(B495="","",IFERROR(IF(OR(E495="",E495="All"),INDEX('Kitting Plan'!$E$5:$E$18,MATCH(B495,'Kitting Plan'!$C$5:$C$18,0)),INDEX('Kitting Plan'!$H$5:$H$18,MATCH(B495,'Kitting Plan'!$C$5:$C$18,0))),""))</f>
        <v/>
      </c>
      <c r="G495" s="45"/>
      <c r="H495" s="55" t="str">
        <f aca="false">IF(B495="","",IF(G495="",F495,G495))</f>
        <v/>
      </c>
      <c r="I495" s="45"/>
      <c r="J495" s="56"/>
      <c r="K495" s="46"/>
      <c r="L495" s="53" t="str">
        <f aca="false">IF(A495="","",IF(B495="","Missing code",IF(C495="Unknown code","Unknown code",IF(COUNTIF($A$6:$A$505,A495)&gt;1,"Duplicate WO",""))))</f>
        <v/>
      </c>
    </row>
    <row r="496" customFormat="false" ht="15" hidden="false" customHeight="false" outlineLevel="0" collapsed="false">
      <c r="A496" s="46"/>
      <c r="B496" s="46"/>
      <c r="C496" s="53" t="str">
        <f aca="false">IF(B496="","",IFERROR(INDEX('Kitting Plan'!$D$5:$D$18,MATCH(B496,'Kitting Plan'!$C$5:$C$18,0)),"Unknown code"))</f>
        <v/>
      </c>
      <c r="D496" s="53" t="str">
        <f aca="false">IF(B496="","",IFERROR(INDEX('Kitting Plan'!$B$5:$B$18,MATCH(B496,'Kitting Plan'!$C$5:$C$18,0)),""))</f>
        <v/>
      </c>
      <c r="E496" s="45"/>
      <c r="F496" s="54" t="str">
        <f aca="false">IF(B496="","",IFERROR(IF(OR(E496="",E496="All"),INDEX('Kitting Plan'!$E$5:$E$18,MATCH(B496,'Kitting Plan'!$C$5:$C$18,0)),INDEX('Kitting Plan'!$H$5:$H$18,MATCH(B496,'Kitting Plan'!$C$5:$C$18,0))),""))</f>
        <v/>
      </c>
      <c r="G496" s="45"/>
      <c r="H496" s="55" t="str">
        <f aca="false">IF(B496="","",IF(G496="",F496,G496))</f>
        <v/>
      </c>
      <c r="I496" s="45"/>
      <c r="J496" s="56"/>
      <c r="K496" s="46"/>
      <c r="L496" s="53" t="str">
        <f aca="false">IF(A496="","",IF(B496="","Missing code",IF(C496="Unknown code","Unknown code",IF(COUNTIF($A$6:$A$505,A496)&gt;1,"Duplicate WO",""))))</f>
        <v/>
      </c>
    </row>
    <row r="497" customFormat="false" ht="15" hidden="false" customHeight="false" outlineLevel="0" collapsed="false">
      <c r="A497" s="46"/>
      <c r="B497" s="46"/>
      <c r="C497" s="53" t="str">
        <f aca="false">IF(B497="","",IFERROR(INDEX('Kitting Plan'!$D$5:$D$18,MATCH(B497,'Kitting Plan'!$C$5:$C$18,0)),"Unknown code"))</f>
        <v/>
      </c>
      <c r="D497" s="53" t="str">
        <f aca="false">IF(B497="","",IFERROR(INDEX('Kitting Plan'!$B$5:$B$18,MATCH(B497,'Kitting Plan'!$C$5:$C$18,0)),""))</f>
        <v/>
      </c>
      <c r="E497" s="45"/>
      <c r="F497" s="54" t="str">
        <f aca="false">IF(B497="","",IFERROR(IF(OR(E497="",E497="All"),INDEX('Kitting Plan'!$E$5:$E$18,MATCH(B497,'Kitting Plan'!$C$5:$C$18,0)),INDEX('Kitting Plan'!$H$5:$H$18,MATCH(B497,'Kitting Plan'!$C$5:$C$18,0))),""))</f>
        <v/>
      </c>
      <c r="G497" s="45"/>
      <c r="H497" s="55" t="str">
        <f aca="false">IF(B497="","",IF(G497="",F497,G497))</f>
        <v/>
      </c>
      <c r="I497" s="45"/>
      <c r="J497" s="56"/>
      <c r="K497" s="46"/>
      <c r="L497" s="53" t="str">
        <f aca="false">IF(A497="","",IF(B497="","Missing code",IF(C497="Unknown code","Unknown code",IF(COUNTIF($A$6:$A$505,A497)&gt;1,"Duplicate WO",""))))</f>
        <v/>
      </c>
    </row>
    <row r="498" customFormat="false" ht="15" hidden="false" customHeight="false" outlineLevel="0" collapsed="false">
      <c r="A498" s="46"/>
      <c r="B498" s="46"/>
      <c r="C498" s="53" t="str">
        <f aca="false">IF(B498="","",IFERROR(INDEX('Kitting Plan'!$D$5:$D$18,MATCH(B498,'Kitting Plan'!$C$5:$C$18,0)),"Unknown code"))</f>
        <v/>
      </c>
      <c r="D498" s="53" t="str">
        <f aca="false">IF(B498="","",IFERROR(INDEX('Kitting Plan'!$B$5:$B$18,MATCH(B498,'Kitting Plan'!$C$5:$C$18,0)),""))</f>
        <v/>
      </c>
      <c r="E498" s="45"/>
      <c r="F498" s="54" t="str">
        <f aca="false">IF(B498="","",IFERROR(IF(OR(E498="",E498="All"),INDEX('Kitting Plan'!$E$5:$E$18,MATCH(B498,'Kitting Plan'!$C$5:$C$18,0)),INDEX('Kitting Plan'!$H$5:$H$18,MATCH(B498,'Kitting Plan'!$C$5:$C$18,0))),""))</f>
        <v/>
      </c>
      <c r="G498" s="45"/>
      <c r="H498" s="55" t="str">
        <f aca="false">IF(B498="","",IF(G498="",F498,G498))</f>
        <v/>
      </c>
      <c r="I498" s="45"/>
      <c r="J498" s="56"/>
      <c r="K498" s="46"/>
      <c r="L498" s="53" t="str">
        <f aca="false">IF(A498="","",IF(B498="","Missing code",IF(C498="Unknown code","Unknown code",IF(COUNTIF($A$6:$A$505,A498)&gt;1,"Duplicate WO",""))))</f>
        <v/>
      </c>
    </row>
    <row r="499" customFormat="false" ht="15" hidden="false" customHeight="false" outlineLevel="0" collapsed="false">
      <c r="A499" s="46"/>
      <c r="B499" s="46"/>
      <c r="C499" s="53" t="str">
        <f aca="false">IF(B499="","",IFERROR(INDEX('Kitting Plan'!$D$5:$D$18,MATCH(B499,'Kitting Plan'!$C$5:$C$18,0)),"Unknown code"))</f>
        <v/>
      </c>
      <c r="D499" s="53" t="str">
        <f aca="false">IF(B499="","",IFERROR(INDEX('Kitting Plan'!$B$5:$B$18,MATCH(B499,'Kitting Plan'!$C$5:$C$18,0)),""))</f>
        <v/>
      </c>
      <c r="E499" s="45"/>
      <c r="F499" s="54" t="str">
        <f aca="false">IF(B499="","",IFERROR(IF(OR(E499="",E499="All"),INDEX('Kitting Plan'!$E$5:$E$18,MATCH(B499,'Kitting Plan'!$C$5:$C$18,0)),INDEX('Kitting Plan'!$H$5:$H$18,MATCH(B499,'Kitting Plan'!$C$5:$C$18,0))),""))</f>
        <v/>
      </c>
      <c r="G499" s="45"/>
      <c r="H499" s="55" t="str">
        <f aca="false">IF(B499="","",IF(G499="",F499,G499))</f>
        <v/>
      </c>
      <c r="I499" s="45"/>
      <c r="J499" s="56"/>
      <c r="K499" s="46"/>
      <c r="L499" s="53" t="str">
        <f aca="false">IF(A499="","",IF(B499="","Missing code",IF(C499="Unknown code","Unknown code",IF(COUNTIF($A$6:$A$505,A499)&gt;1,"Duplicate WO",""))))</f>
        <v/>
      </c>
    </row>
    <row r="500" customFormat="false" ht="15" hidden="false" customHeight="false" outlineLevel="0" collapsed="false">
      <c r="A500" s="46"/>
      <c r="B500" s="46"/>
      <c r="C500" s="53" t="str">
        <f aca="false">IF(B500="","",IFERROR(INDEX('Kitting Plan'!$D$5:$D$18,MATCH(B500,'Kitting Plan'!$C$5:$C$18,0)),"Unknown code"))</f>
        <v/>
      </c>
      <c r="D500" s="53" t="str">
        <f aca="false">IF(B500="","",IFERROR(INDEX('Kitting Plan'!$B$5:$B$18,MATCH(B500,'Kitting Plan'!$C$5:$C$18,0)),""))</f>
        <v/>
      </c>
      <c r="E500" s="45"/>
      <c r="F500" s="54" t="str">
        <f aca="false">IF(B500="","",IFERROR(IF(OR(E500="",E500="All"),INDEX('Kitting Plan'!$E$5:$E$18,MATCH(B500,'Kitting Plan'!$C$5:$C$18,0)),INDEX('Kitting Plan'!$H$5:$H$18,MATCH(B500,'Kitting Plan'!$C$5:$C$18,0))),""))</f>
        <v/>
      </c>
      <c r="G500" s="45"/>
      <c r="H500" s="55" t="str">
        <f aca="false">IF(B500="","",IF(G500="",F500,G500))</f>
        <v/>
      </c>
      <c r="I500" s="45"/>
      <c r="J500" s="56"/>
      <c r="K500" s="46"/>
      <c r="L500" s="53" t="str">
        <f aca="false">IF(A500="","",IF(B500="","Missing code",IF(C500="Unknown code","Unknown code",IF(COUNTIF($A$6:$A$505,A500)&gt;1,"Duplicate WO",""))))</f>
        <v/>
      </c>
    </row>
    <row r="501" customFormat="false" ht="15" hidden="false" customHeight="false" outlineLevel="0" collapsed="false">
      <c r="A501" s="46"/>
      <c r="B501" s="46"/>
      <c r="C501" s="53" t="str">
        <f aca="false">IF(B501="","",IFERROR(INDEX('Kitting Plan'!$D$5:$D$18,MATCH(B501,'Kitting Plan'!$C$5:$C$18,0)),"Unknown code"))</f>
        <v/>
      </c>
      <c r="D501" s="53" t="str">
        <f aca="false">IF(B501="","",IFERROR(INDEX('Kitting Plan'!$B$5:$B$18,MATCH(B501,'Kitting Plan'!$C$5:$C$18,0)),""))</f>
        <v/>
      </c>
      <c r="E501" s="45"/>
      <c r="F501" s="54" t="str">
        <f aca="false">IF(B501="","",IFERROR(IF(OR(E501="",E501="All"),INDEX('Kitting Plan'!$E$5:$E$18,MATCH(B501,'Kitting Plan'!$C$5:$C$18,0)),INDEX('Kitting Plan'!$H$5:$H$18,MATCH(B501,'Kitting Plan'!$C$5:$C$18,0))),""))</f>
        <v/>
      </c>
      <c r="G501" s="45"/>
      <c r="H501" s="55" t="str">
        <f aca="false">IF(B501="","",IF(G501="",F501,G501))</f>
        <v/>
      </c>
      <c r="I501" s="45"/>
      <c r="J501" s="56"/>
      <c r="K501" s="46"/>
      <c r="L501" s="53" t="str">
        <f aca="false">IF(A501="","",IF(B501="","Missing code",IF(C501="Unknown code","Unknown code",IF(COUNTIF($A$6:$A$505,A501)&gt;1,"Duplicate WO",""))))</f>
        <v/>
      </c>
    </row>
    <row r="502" customFormat="false" ht="15" hidden="false" customHeight="false" outlineLevel="0" collapsed="false">
      <c r="A502" s="46"/>
      <c r="B502" s="46"/>
      <c r="C502" s="53" t="str">
        <f aca="false">IF(B502="","",IFERROR(INDEX('Kitting Plan'!$D$5:$D$18,MATCH(B502,'Kitting Plan'!$C$5:$C$18,0)),"Unknown code"))</f>
        <v/>
      </c>
      <c r="D502" s="53" t="str">
        <f aca="false">IF(B502="","",IFERROR(INDEX('Kitting Plan'!$B$5:$B$18,MATCH(B502,'Kitting Plan'!$C$5:$C$18,0)),""))</f>
        <v/>
      </c>
      <c r="E502" s="45"/>
      <c r="F502" s="54" t="str">
        <f aca="false">IF(B502="","",IFERROR(IF(OR(E502="",E502="All"),INDEX('Kitting Plan'!$E$5:$E$18,MATCH(B502,'Kitting Plan'!$C$5:$C$18,0)),INDEX('Kitting Plan'!$H$5:$H$18,MATCH(B502,'Kitting Plan'!$C$5:$C$18,0))),""))</f>
        <v/>
      </c>
      <c r="G502" s="45"/>
      <c r="H502" s="55" t="str">
        <f aca="false">IF(B502="","",IF(G502="",F502,G502))</f>
        <v/>
      </c>
      <c r="I502" s="45"/>
      <c r="J502" s="56"/>
      <c r="K502" s="46"/>
      <c r="L502" s="53" t="str">
        <f aca="false">IF(A502="","",IF(B502="","Missing code",IF(C502="Unknown code","Unknown code",IF(COUNTIF($A$6:$A$505,A502)&gt;1,"Duplicate WO",""))))</f>
        <v/>
      </c>
    </row>
    <row r="503" customFormat="false" ht="15" hidden="false" customHeight="false" outlineLevel="0" collapsed="false">
      <c r="A503" s="46"/>
      <c r="B503" s="46"/>
      <c r="C503" s="53" t="str">
        <f aca="false">IF(B503="","",IFERROR(INDEX('Kitting Plan'!$D$5:$D$18,MATCH(B503,'Kitting Plan'!$C$5:$C$18,0)),"Unknown code"))</f>
        <v/>
      </c>
      <c r="D503" s="53" t="str">
        <f aca="false">IF(B503="","",IFERROR(INDEX('Kitting Plan'!$B$5:$B$18,MATCH(B503,'Kitting Plan'!$C$5:$C$18,0)),""))</f>
        <v/>
      </c>
      <c r="E503" s="45"/>
      <c r="F503" s="54" t="str">
        <f aca="false">IF(B503="","",IFERROR(IF(OR(E503="",E503="All"),INDEX('Kitting Plan'!$E$5:$E$18,MATCH(B503,'Kitting Plan'!$C$5:$C$18,0)),INDEX('Kitting Plan'!$H$5:$H$18,MATCH(B503,'Kitting Plan'!$C$5:$C$18,0))),""))</f>
        <v/>
      </c>
      <c r="G503" s="45"/>
      <c r="H503" s="55" t="str">
        <f aca="false">IF(B503="","",IF(G503="",F503,G503))</f>
        <v/>
      </c>
      <c r="I503" s="45"/>
      <c r="J503" s="56"/>
      <c r="K503" s="46"/>
      <c r="L503" s="53" t="str">
        <f aca="false">IF(A503="","",IF(B503="","Missing code",IF(C503="Unknown code","Unknown code",IF(COUNTIF($A$6:$A$505,A503)&gt;1,"Duplicate WO",""))))</f>
        <v/>
      </c>
    </row>
    <row r="504" customFormat="false" ht="15" hidden="false" customHeight="false" outlineLevel="0" collapsed="false">
      <c r="A504" s="46"/>
      <c r="B504" s="46"/>
      <c r="C504" s="53" t="str">
        <f aca="false">IF(B504="","",IFERROR(INDEX('Kitting Plan'!$D$5:$D$18,MATCH(B504,'Kitting Plan'!$C$5:$C$18,0)),"Unknown code"))</f>
        <v/>
      </c>
      <c r="D504" s="53" t="str">
        <f aca="false">IF(B504="","",IFERROR(INDEX('Kitting Plan'!$B$5:$B$18,MATCH(B504,'Kitting Plan'!$C$5:$C$18,0)),""))</f>
        <v/>
      </c>
      <c r="E504" s="45"/>
      <c r="F504" s="54" t="str">
        <f aca="false">IF(B504="","",IFERROR(IF(OR(E504="",E504="All"),INDEX('Kitting Plan'!$E$5:$E$18,MATCH(B504,'Kitting Plan'!$C$5:$C$18,0)),INDEX('Kitting Plan'!$H$5:$H$18,MATCH(B504,'Kitting Plan'!$C$5:$C$18,0))),""))</f>
        <v/>
      </c>
      <c r="G504" s="45"/>
      <c r="H504" s="55" t="str">
        <f aca="false">IF(B504="","",IF(G504="",F504,G504))</f>
        <v/>
      </c>
      <c r="I504" s="45"/>
      <c r="J504" s="56"/>
      <c r="K504" s="46"/>
      <c r="L504" s="53" t="str">
        <f aca="false">IF(A504="","",IF(B504="","Missing code",IF(C504="Unknown code","Unknown code",IF(COUNTIF($A$6:$A$505,A504)&gt;1,"Duplicate WO",""))))</f>
        <v/>
      </c>
    </row>
    <row r="505" customFormat="false" ht="15" hidden="false" customHeight="false" outlineLevel="0" collapsed="false">
      <c r="A505" s="46"/>
      <c r="B505" s="46"/>
      <c r="C505" s="53" t="str">
        <f aca="false">IF(B505="","",IFERROR(INDEX('Kitting Plan'!$D$5:$D$18,MATCH(B505,'Kitting Plan'!$C$5:$C$18,0)),"Unknown code"))</f>
        <v/>
      </c>
      <c r="D505" s="53" t="str">
        <f aca="false">IF(B505="","",IFERROR(INDEX('Kitting Plan'!$B$5:$B$18,MATCH(B505,'Kitting Plan'!$C$5:$C$18,0)),""))</f>
        <v/>
      </c>
      <c r="E505" s="45"/>
      <c r="F505" s="54" t="str">
        <f aca="false">IF(B505="","",IFERROR(IF(OR(E505="",E505="All"),INDEX('Kitting Plan'!$E$5:$E$18,MATCH(B505,'Kitting Plan'!$C$5:$C$18,0)),INDEX('Kitting Plan'!$H$5:$H$18,MATCH(B505,'Kitting Plan'!$C$5:$C$18,0))),""))</f>
        <v/>
      </c>
      <c r="G505" s="45"/>
      <c r="H505" s="55" t="str">
        <f aca="false">IF(B505="","",IF(G505="",F505,G505))</f>
        <v/>
      </c>
      <c r="I505" s="45"/>
      <c r="J505" s="56"/>
      <c r="K505" s="46"/>
      <c r="L505" s="53" t="str">
        <f aca="false">IF(A505="","",IF(B505="","Missing code",IF(C505="Unknown code","Unknown code",IF(COUNTIF($A$6:$A$505,A505)&gt;1,"Duplicate WO",""))))</f>
        <v/>
      </c>
    </row>
  </sheetData>
  <autoFilter ref="A5:L505"/>
  <conditionalFormatting sqref="L6:L505">
    <cfRule type="expression" priority="2" aboveAverage="0" equalAverage="0" bottom="0" percent="0" rank="0" text="" dxfId="3">
      <formula>$L6&lt;&gt;""</formula>
    </cfRule>
  </conditionalFormatting>
  <conditionalFormatting sqref="I6:I505">
    <cfRule type="expression" priority="3" aboveAverage="0" equalAverage="0" bottom="0" percent="0" rank="0" text="" dxfId="14">
      <formula>$I6="Released"</formula>
    </cfRule>
    <cfRule type="expression" priority="4" aboveAverage="0" equalAverage="0" bottom="0" percent="0" rank="0" text="" dxfId="1">
      <formula>$I6="Kitted"</formula>
    </cfRule>
    <cfRule type="expression" priority="5" aboveAverage="0" equalAverage="0" bottom="0" percent="0" rank="0" text="" dxfId="2">
      <formula>$I6="Closed"</formula>
    </cfRule>
  </conditionalFormatting>
  <dataValidations count="4">
    <dataValidation allowBlank="true" error="Pick an assy code from the kitting plan." errorStyle="stop" errorTitle="Unknown code" operator="between" showDropDown="false" showErrorMessage="true" showInputMessage="false" sqref="B6:B505" type="list">
      <formula1>Lists!$A$1:$A$14</formula1>
      <formula2>0</formula2>
    </dataValidation>
    <dataValidation allowBlank="true" errorStyle="stop" operator="between" showDropDown="false" showErrorMessage="false" showInputMessage="false" sqref="E6:E505" type="list">
      <formula1>"All,1,2,3,4,5,6,7,8,9,10,11,12,13"</formula1>
      <formula2>0</formula2>
    </dataValidation>
    <dataValidation allowBlank="true" errorStyle="stop" operator="between" showDropDown="false" showErrorMessage="false" showInputMessage="false" sqref="I6:I505" type="list">
      <formula1>"Planned,Released,Kitted,Closed"</formula1>
      <formula2>0</formula2>
    </dataValidation>
    <dataValidation allowBlank="true" error="Enter a whole number above 0, or leave blank to use the listed qty." errorStyle="stop" operator="greaterThan" showDropDown="false" showErrorMessage="true" showInputMessage="false" sqref="G6:G50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tr">
        <f aca="false">'Kitting Plan'!C5</f>
        <v>92YLS00548BAA</v>
      </c>
    </row>
    <row r="2" customFormat="false" ht="15" hidden="false" customHeight="false" outlineLevel="0" collapsed="false">
      <c r="A2" s="0" t="str">
        <f aca="false">'Kitting Plan'!C6</f>
        <v>92YLS00548BBA</v>
      </c>
    </row>
    <row r="3" customFormat="false" ht="15" hidden="false" customHeight="false" outlineLevel="0" collapsed="false">
      <c r="A3" s="0" t="str">
        <f aca="false">'Kitting Plan'!C7</f>
        <v>91YAF03404AAA</v>
      </c>
    </row>
    <row r="4" customFormat="false" ht="15" hidden="false" customHeight="false" outlineLevel="0" collapsed="false">
      <c r="A4" s="0" t="str">
        <f aca="false">'Kitting Plan'!C8</f>
        <v>92YFD04548BAA</v>
      </c>
    </row>
    <row r="5" customFormat="false" ht="15" hidden="false" customHeight="false" outlineLevel="0" collapsed="false">
      <c r="A5" s="0" t="str">
        <f aca="false">'Kitting Plan'!C9</f>
        <v>92YFD04548BBA</v>
      </c>
    </row>
    <row r="6" customFormat="false" ht="15" hidden="false" customHeight="false" outlineLevel="0" collapsed="false">
      <c r="A6" s="0" t="str">
        <f aca="false">'Kitting Plan'!C10</f>
        <v>92YWS04548AAA</v>
      </c>
    </row>
    <row r="7" customFormat="false" ht="15" hidden="false" customHeight="false" outlineLevel="0" collapsed="false">
      <c r="A7" s="0" t="str">
        <f aca="false">'Kitting Plan'!C11</f>
        <v>92RRA00548AAA</v>
      </c>
    </row>
    <row r="8" customFormat="false" ht="15" hidden="false" customHeight="false" outlineLevel="0" collapsed="false">
      <c r="A8" s="0" t="str">
        <f aca="false">'Kitting Plan'!C12</f>
        <v>92YRA01548AAA</v>
      </c>
    </row>
    <row r="9" customFormat="false" ht="15" hidden="false" customHeight="false" outlineLevel="0" collapsed="false">
      <c r="A9" s="0" t="str">
        <f aca="false">'Kitting Plan'!C13</f>
        <v>92YRA02548AAA</v>
      </c>
    </row>
    <row r="10" customFormat="false" ht="15" hidden="false" customHeight="false" outlineLevel="0" collapsed="false">
      <c r="A10" s="0" t="str">
        <f aca="false">'Kitting Plan'!C14</f>
        <v>92YRA03548AAA</v>
      </c>
    </row>
    <row r="11" customFormat="false" ht="15" hidden="false" customHeight="false" outlineLevel="0" collapsed="false">
      <c r="A11" s="0" t="str">
        <f aca="false">'Kitting Plan'!C15</f>
        <v>92YRA04548AAA</v>
      </c>
    </row>
    <row r="12" customFormat="false" ht="15" hidden="false" customHeight="false" outlineLevel="0" collapsed="false">
      <c r="A12" s="0" t="str">
        <f aca="false">'Kitting Plan'!C16</f>
        <v>92UAP04548BAA</v>
      </c>
    </row>
    <row r="13" customFormat="false" ht="15" hidden="false" customHeight="false" outlineLevel="0" collapsed="false">
      <c r="A13" s="0" t="str">
        <f aca="false">'Kitting Plan'!C17</f>
        <v>92UAP04548BBA</v>
      </c>
    </row>
    <row r="14" customFormat="false" ht="15" hidden="false" customHeight="false" outlineLevel="0" collapsed="false">
      <c r="A14" s="0" t="str">
        <f aca="false">'Kitting Plan'!C18</f>
        <v>92UAP04548BCA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22.05" hidden="false" customHeight="false" outlineLevel="0" collapsed="false">
      <c r="B2" s="57" t="s">
        <v>103</v>
      </c>
    </row>
    <row r="5" customFormat="false" ht="15" hidden="false" customHeight="false" outlineLevel="0" collapsed="false">
      <c r="B5" s="58" t="s">
        <v>104</v>
      </c>
    </row>
    <row r="6" customFormat="false" ht="33.75" hidden="false" customHeight="true" outlineLevel="0" collapsed="false">
      <c r="B6" s="59" t="s">
        <v>105</v>
      </c>
      <c r="C6" s="60" t="s">
        <v>106</v>
      </c>
    </row>
    <row r="7" customFormat="false" ht="33.75" hidden="false" customHeight="true" outlineLevel="0" collapsed="false">
      <c r="B7" s="59" t="s">
        <v>107</v>
      </c>
      <c r="C7" s="60" t="s">
        <v>108</v>
      </c>
    </row>
    <row r="8" customFormat="false" ht="33.75" hidden="false" customHeight="true" outlineLevel="0" collapsed="false">
      <c r="B8" s="59" t="s">
        <v>109</v>
      </c>
      <c r="C8" s="60" t="s">
        <v>110</v>
      </c>
    </row>
    <row r="9" customFormat="false" ht="33.75" hidden="false" customHeight="true" outlineLevel="0" collapsed="false">
      <c r="B9" s="59" t="s">
        <v>111</v>
      </c>
      <c r="C9" s="60" t="s">
        <v>112</v>
      </c>
    </row>
    <row r="10" customFormat="false" ht="33.75" hidden="false" customHeight="true" outlineLevel="0" collapsed="false">
      <c r="B10" s="59" t="s">
        <v>113</v>
      </c>
      <c r="C10" s="60" t="s">
        <v>114</v>
      </c>
    </row>
    <row r="12" customFormat="false" ht="15" hidden="false" customHeight="false" outlineLevel="0" collapsed="false">
      <c r="B12" s="58" t="s">
        <v>115</v>
      </c>
    </row>
    <row r="13" customFormat="false" ht="33.75" hidden="false" customHeight="true" outlineLevel="0" collapsed="false">
      <c r="B13" s="59" t="s">
        <v>116</v>
      </c>
      <c r="C13" s="60" t="s">
        <v>117</v>
      </c>
    </row>
    <row r="14" customFormat="false" ht="33.75" hidden="false" customHeight="true" outlineLevel="0" collapsed="false">
      <c r="B14" s="59" t="s">
        <v>118</v>
      </c>
      <c r="C14" s="60" t="s">
        <v>119</v>
      </c>
    </row>
    <row r="15" customFormat="false" ht="33.75" hidden="false" customHeight="true" outlineLevel="0" collapsed="false">
      <c r="B15" s="59" t="s">
        <v>120</v>
      </c>
      <c r="C15" s="60" t="s">
        <v>121</v>
      </c>
    </row>
    <row r="16" customFormat="false" ht="33.75" hidden="false" customHeight="true" outlineLevel="0" collapsed="false">
      <c r="B16" s="59" t="s">
        <v>122</v>
      </c>
      <c r="C16" s="60" t="s">
        <v>123</v>
      </c>
    </row>
    <row r="17" customFormat="false" ht="33.75" hidden="false" customHeight="true" outlineLevel="0" collapsed="false">
      <c r="B17" s="59" t="s">
        <v>124</v>
      </c>
      <c r="C17" s="60" t="s">
        <v>125</v>
      </c>
    </row>
    <row r="18" customFormat="false" ht="33.75" hidden="false" customHeight="true" outlineLevel="0" collapsed="false">
      <c r="B18" s="59" t="s">
        <v>126</v>
      </c>
      <c r="C18" s="60" t="s">
        <v>127</v>
      </c>
    </row>
    <row r="19" customFormat="false" ht="33.75" hidden="false" customHeight="true" outlineLevel="0" collapsed="false">
      <c r="B19" s="59" t="s">
        <v>128</v>
      </c>
      <c r="C19" s="60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2026-10-03T12:25:07Z</dcterms:created>
  <dc:creator>openpyxl</dc:creator>
  <dc:description/>
  <dc:language>en-US</dc:language>
  <cp:lastModifiedBy/>
  <dcterms:modified xsi:type="dcterms:W3CDTF">2026-10-03T12:25:07Z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