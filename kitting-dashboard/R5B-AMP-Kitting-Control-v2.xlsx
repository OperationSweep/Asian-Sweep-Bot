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Gantt" sheetId="3" state="visible" r:id="rId3"/>
    <sheet xmlns:r="http://schemas.openxmlformats.org/officeDocument/2006/relationships" name="Contracts" sheetId="4" state="visible" r:id="rId4"/>
    <sheet xmlns:r="http://schemas.openxmlformats.org/officeDocument/2006/relationships" name="Assemblies &amp; Totals" sheetId="5" state="visible" r:id="rId5"/>
    <sheet xmlns:r="http://schemas.openxmlformats.org/officeDocument/2006/relationships" name="Weekly Plan" sheetId="6" state="visible" r:id="rId6"/>
  </sheets>
  <definedNames>
    <definedName name="ContractList">tblContracts[Contract ID]</definedName>
    <definedName name="ThisWeek">TODAY()-WEEKDAY(TODAY(),2)+1</definedName>
    <definedName name="UpdateIntervalDays">Contracts!$C$4</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4">
    <numFmt numFmtId="164" formatCode="yyyy-mm-dd"/>
    <numFmt numFmtId="165" formatCode="dd-mmm-yy"/>
    <numFmt numFmtId="166" formatCode="ddd dd-mmm-yy"/>
    <numFmt numFmtId="167" formatCode="dd-mmm"/>
  </numFmts>
  <fonts count="49">
    <font>
      <name val="Calibri"/>
      <family val="2"/>
      <color theme="1"/>
      <sz val="11"/>
      <scheme val="minor"/>
    </font>
    <font>
      <name val="Arial"/>
      <b val="1"/>
      <color rgb="00141A26"/>
      <sz val="18"/>
    </font>
    <font>
      <name val="Arial"/>
      <i val="1"/>
      <color rgb="005D6576"/>
      <sz val="10"/>
    </font>
    <font>
      <name val="Arial"/>
      <b val="1"/>
      <color rgb="001E2433"/>
      <sz val="10"/>
    </font>
    <font>
      <name val="Arial"/>
      <b val="1"/>
      <color rgb="001E2433"/>
      <sz val="12"/>
    </font>
    <font>
      <name val="Arial"/>
      <i val="1"/>
      <color rgb="005D6576"/>
      <sz val="9"/>
    </font>
    <font>
      <name val="Arial"/>
      <b val="1"/>
      <color rgb="00A8660B"/>
      <sz val="8"/>
    </font>
    <font>
      <name val="Arial"/>
      <b val="1"/>
      <color rgb="005D6576"/>
      <sz val="8"/>
    </font>
    <font>
      <name val="Arial"/>
      <color rgb="001E2433"/>
      <sz val="10"/>
    </font>
    <font>
      <name val="Arial"/>
      <color rgb="005D6576"/>
      <sz val="10"/>
    </font>
    <font>
      <name val="Arial"/>
      <b val="1"/>
      <color rgb="00FFFFFF"/>
      <sz val="13"/>
    </font>
    <font>
      <name val="Arial"/>
      <b val="1"/>
      <color rgb="00FFFFFF"/>
      <sz val="11"/>
    </font>
    <font>
      <name val="Arial"/>
      <color rgb="001E2433"/>
      <sz val="9"/>
    </font>
    <font>
      <name val="Arial"/>
      <b val="1"/>
      <color rgb="00FFFFFF"/>
      <sz val="22"/>
    </font>
    <font>
      <name val="Arial"/>
      <b val="1"/>
      <color rgb="00AEB6C6"/>
      <sz val="10"/>
    </font>
    <font>
      <name val="Arial"/>
      <b val="1"/>
      <color rgb="00141A26"/>
      <sz val="15"/>
    </font>
    <font>
      <name val="Arial"/>
      <color rgb="00AEB6C6"/>
      <sz val="10"/>
    </font>
    <font>
      <name val="Arial"/>
      <b val="1"/>
      <color rgb="003558B8"/>
      <sz val="11"/>
    </font>
    <font>
      <name val="Arial"/>
      <color rgb="005D6576"/>
      <sz val="8"/>
    </font>
    <font>
      <name val="Arial"/>
      <b val="1"/>
      <color rgb="005D6576"/>
      <sz val="9"/>
    </font>
    <font>
      <name val="Arial"/>
      <b val="1"/>
      <color rgb="00141A26"/>
      <sz val="26"/>
    </font>
    <font>
      <name val="Arial"/>
      <color rgb="005D6576"/>
      <sz val="9"/>
    </font>
    <font>
      <name val="Arial"/>
      <b val="1"/>
      <color rgb="00B0245E"/>
      <sz val="26"/>
    </font>
    <font>
      <name val="Arial"/>
      <b val="1"/>
      <color rgb="001E2433"/>
      <sz val="11"/>
    </font>
    <font>
      <name val="Consolas"/>
      <b val="1"/>
      <color rgb="00B0245E"/>
      <sz val="11"/>
    </font>
    <font>
      <name val="Arial"/>
      <b val="1"/>
      <color rgb="00A8660B"/>
      <sz val="9"/>
    </font>
    <font>
      <name val="Arial"/>
      <b val="1"/>
      <color rgb="001E2433"/>
      <sz val="14"/>
    </font>
    <font>
      <name val="Arial"/>
      <b val="1"/>
      <color rgb="00A8660B"/>
      <sz val="10"/>
    </font>
    <font>
      <name val="Arial"/>
      <b val="1"/>
      <color rgb="00FFFFFF"/>
      <sz val="9"/>
    </font>
    <font>
      <name val="Arial"/>
      <b val="1"/>
      <color rgb="00141A26"/>
      <sz val="12"/>
    </font>
    <font>
      <name val="Arial"/>
      <i val="1"/>
      <color rgb="005D6576"/>
      <sz val="8"/>
    </font>
    <font>
      <name val="Arial"/>
      <b val="1"/>
      <color rgb="00FFFFFF"/>
      <sz val="18"/>
    </font>
    <font>
      <name val="Arial"/>
      <b val="1"/>
      <color rgb="00FFFFFF"/>
      <sz val="10"/>
    </font>
    <font>
      <name val="Arial"/>
      <color rgb="005D6576"/>
      <sz val="7"/>
    </font>
    <font>
      <name val="Arial"/>
      <b val="1"/>
      <color rgb="003558B8"/>
      <sz val="9"/>
    </font>
    <font>
      <name val="Arial"/>
      <b val="1"/>
      <color rgb="00B0245E"/>
      <sz val="8"/>
    </font>
    <font>
      <name val="Arial"/>
      <b val="1"/>
      <color rgb="001F8A5B"/>
      <sz val="8"/>
    </font>
    <font>
      <name val="Arial"/>
      <b val="1"/>
      <color rgb="00FFFFFF"/>
      <sz val="8"/>
    </font>
    <font>
      <name val="Arial"/>
      <b val="1"/>
      <color rgb="003558B8"/>
      <sz val="8"/>
    </font>
    <font>
      <name val="Arial"/>
      <b val="1"/>
      <color rgb="00C0392B"/>
      <sz val="8"/>
    </font>
    <font>
      <name val="Arial"/>
      <b val="1"/>
      <color rgb="00AEB6C6"/>
      <sz val="8"/>
    </font>
    <font>
      <name val="Arial"/>
      <color rgb="00AEB6C6"/>
      <sz val="7"/>
    </font>
    <font>
      <name val="Arial"/>
      <b val="1"/>
      <color rgb="00B0245E"/>
      <sz val="10"/>
    </font>
    <font>
      <name val="Arial"/>
      <b val="1"/>
      <color rgb="001E2433"/>
      <sz val="9"/>
    </font>
    <font>
      <name val="Arial"/>
      <b val="1"/>
      <color rgb="003558B8"/>
      <sz val="10"/>
    </font>
    <font>
      <name val="Arial"/>
      <b val="1"/>
      <color rgb="001F8A5B"/>
      <sz val="9"/>
    </font>
    <font>
      <name val="Arial"/>
      <b val="1"/>
      <color rgb="001E2433"/>
      <sz val="7"/>
    </font>
    <font>
      <name val="Arial"/>
      <b val="1"/>
      <color rgb="00FFFFFF"/>
      <sz val="20"/>
    </font>
    <font>
      <name val="Arial"/>
      <b val="1"/>
      <color rgb="00FFFFFF"/>
      <sz val="12"/>
    </font>
  </fonts>
  <fills count="15">
    <fill>
      <patternFill/>
    </fill>
    <fill>
      <patternFill patternType="gray125"/>
    </fill>
    <fill>
      <patternFill patternType="solid">
        <fgColor rgb="00FFF2B3"/>
        <bgColor rgb="00FFF2B3"/>
      </patternFill>
    </fill>
    <fill>
      <patternFill patternType="solid">
        <fgColor rgb="00E4E6EB"/>
        <bgColor rgb="00E4E6EB"/>
      </patternFill>
    </fill>
    <fill>
      <patternFill patternType="solid">
        <fgColor rgb="00B0245E"/>
        <bgColor rgb="00B0245E"/>
      </patternFill>
    </fill>
    <fill>
      <patternFill patternType="solid">
        <fgColor rgb="003558B8"/>
        <bgColor rgb="003558B8"/>
      </patternFill>
    </fill>
    <fill>
      <patternFill patternType="solid">
        <fgColor rgb="00141A26"/>
        <bgColor rgb="00141A26"/>
      </patternFill>
    </fill>
    <fill>
      <patternFill patternType="solid">
        <fgColor rgb="00E3EAFA"/>
        <bgColor rgb="00E3EAFA"/>
      </patternFill>
    </fill>
    <fill>
      <patternFill patternType="solid">
        <fgColor rgb="00F3F4F7"/>
        <bgColor rgb="00F3F4F7"/>
      </patternFill>
    </fill>
    <fill>
      <patternFill patternType="solid">
        <fgColor rgb="00FBF0DC"/>
        <bgColor rgb="00FBF0DC"/>
      </patternFill>
    </fill>
    <fill>
      <patternFill patternType="solid">
        <fgColor rgb="001E2433"/>
        <bgColor rgb="001E2433"/>
      </patternFill>
    </fill>
    <fill>
      <patternFill patternType="solid">
        <fgColor rgb="00F9DCE7"/>
        <bgColor rgb="00F9DCE7"/>
      </patternFill>
    </fill>
    <fill>
      <patternFill patternType="solid">
        <fgColor rgb="00DDF2E7"/>
        <bgColor rgb="00DDF2E7"/>
      </patternFill>
    </fill>
    <fill>
      <patternFill patternType="solid">
        <fgColor rgb="00C0392B"/>
        <bgColor rgb="00C0392B"/>
      </patternFill>
    </fill>
    <fill>
      <patternFill patternType="solid">
        <fgColor rgb="00FFFFFF"/>
        <bgColor rgb="00FFFFFF"/>
      </patternFill>
    </fill>
  </fills>
  <borders count="6">
    <border>
      <left/>
      <right/>
      <top/>
      <bottom/>
      <diagonal/>
    </border>
    <border>
      <bottom style="medium">
        <color rgb="001E2433"/>
      </bottom>
    </border>
    <border>
      <bottom style="thin">
        <color rgb="00D9DDE5"/>
      </bottom>
    </border>
    <border>
      <left style="thick">
        <color rgb="00B0245E"/>
      </left>
    </border>
    <border/>
    <border>
      <left style="medium">
        <color rgb="00A8660B"/>
      </left>
      <right style="medium">
        <color rgb="00A8660B"/>
      </right>
      <top style="medium">
        <color rgb="00A8660B"/>
      </top>
      <bottom style="medium">
        <color rgb="00A8660B"/>
      </bottom>
    </border>
  </borders>
  <cellStyleXfs count="1">
    <xf numFmtId="0" fontId="0" fillId="0" borderId="0"/>
  </cellStyleXfs>
  <cellXfs count="86">
    <xf numFmtId="0" fontId="0" fillId="0" borderId="0" pivotButton="0" quotePrefix="0" xfId="0"/>
    <xf numFmtId="0" fontId="47" fillId="6" borderId="0" pivotButton="0" quotePrefix="0" xfId="0"/>
    <xf numFmtId="0" fontId="0" fillId="6" borderId="0" pivotButton="0" quotePrefix="0" xfId="0"/>
    <xf numFmtId="0" fontId="16" fillId="6" borderId="0" pivotButton="0" quotePrefix="0" xfId="0"/>
    <xf numFmtId="0" fontId="48" fillId="4" borderId="0" pivotButton="0" quotePrefix="0" xfId="0"/>
    <xf numFmtId="0" fontId="0" fillId="4" borderId="0" pivotButton="0" quotePrefix="0" xfId="0"/>
    <xf numFmtId="0" fontId="3" fillId="0" borderId="0" applyAlignment="1" pivotButton="0" quotePrefix="0" xfId="0">
      <alignment horizontal="left" vertical="top" wrapText="1"/>
    </xf>
    <xf numFmtId="0" fontId="8" fillId="0" borderId="0" applyAlignment="1" pivotButton="0" quotePrefix="0" xfId="0">
      <alignment horizontal="left" vertical="top" wrapText="1"/>
    </xf>
    <xf numFmtId="0" fontId="18" fillId="0" borderId="0" pivotButton="0" quotePrefix="0" xfId="0"/>
    <xf numFmtId="0" fontId="13" fillId="6" borderId="0" applyAlignment="1" pivotButton="0" quotePrefix="0" xfId="0">
      <alignment vertical="center"/>
    </xf>
    <xf numFmtId="0" fontId="14" fillId="6" borderId="0" applyAlignment="1" pivotButton="0" quotePrefix="0" xfId="0">
      <alignment horizontal="right" vertical="center"/>
    </xf>
    <xf numFmtId="0" fontId="15" fillId="2" borderId="0" applyAlignment="1" applyProtection="1" pivotButton="0" quotePrefix="0" xfId="0">
      <alignment horizontal="center" vertical="center" wrapText="1"/>
      <protection locked="0" hidden="0"/>
    </xf>
    <xf numFmtId="0" fontId="0" fillId="2" borderId="0" pivotButton="0" quotePrefix="0" xfId="0"/>
    <xf numFmtId="0" fontId="11" fillId="6" borderId="0" applyAlignment="1" pivotButton="0" quotePrefix="0" xfId="0">
      <alignment vertical="center"/>
    </xf>
    <xf numFmtId="0" fontId="16" fillId="6" borderId="0" applyAlignment="1" pivotButton="0" quotePrefix="0" xfId="0">
      <alignment horizontal="right" vertical="center"/>
    </xf>
    <xf numFmtId="0" fontId="17" fillId="7" borderId="0" applyAlignment="1" pivotButton="0" quotePrefix="0" xfId="0">
      <alignment horizontal="left" vertical="center" wrapText="1"/>
    </xf>
    <xf numFmtId="0" fontId="19" fillId="8" borderId="3" applyAlignment="1" pivotButton="0" quotePrefix="0" xfId="0">
      <alignment horizontal="left" vertical="bottom" wrapText="1" indent="1"/>
    </xf>
    <xf numFmtId="0" fontId="0" fillId="8" borderId="4" pivotButton="0" quotePrefix="0" xfId="0"/>
    <xf numFmtId="0" fontId="22" fillId="8" borderId="3" applyAlignment="1" pivotButton="0" quotePrefix="0" xfId="0">
      <alignment horizontal="left" vertical="center" indent="1"/>
    </xf>
    <xf numFmtId="0" fontId="20" fillId="8" borderId="3" applyAlignment="1" pivotButton="0" quotePrefix="0" xfId="0">
      <alignment horizontal="left" vertical="center" indent="1"/>
    </xf>
    <xf numFmtId="0" fontId="21" fillId="8" borderId="3" applyAlignment="1" pivotButton="0" quotePrefix="0" xfId="0">
      <alignment horizontal="left" vertical="top" wrapText="1" indent="1"/>
    </xf>
    <xf numFmtId="0" fontId="19" fillId="0" borderId="0" applyAlignment="1" pivotButton="0" quotePrefix="0" xfId="0">
      <alignment vertical="center"/>
    </xf>
    <xf numFmtId="0" fontId="2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8" fillId="0" borderId="0" applyAlignment="1" pivotButton="0" quotePrefix="0" xfId="0">
      <alignment horizontal="left" vertical="center" wrapText="1"/>
    </xf>
    <xf numFmtId="0" fontId="25" fillId="0" borderId="0" applyAlignment="1" pivotButton="0" quotePrefix="0" xfId="0">
      <alignment vertical="center"/>
    </xf>
    <xf numFmtId="0" fontId="23" fillId="9" borderId="0" applyAlignment="1" pivotButton="0" quotePrefix="0" xfId="0">
      <alignment horizontal="left" vertical="center" wrapText="1"/>
    </xf>
    <xf numFmtId="0" fontId="19" fillId="0" borderId="0" pivotButton="0" quotePrefix="0" xfId="0"/>
    <xf numFmtId="0" fontId="3" fillId="0" borderId="0" applyAlignment="1" pivotButton="0" quotePrefix="0" xfId="0">
      <alignment horizontal="right" vertical="center"/>
    </xf>
    <xf numFmtId="0" fontId="26" fillId="2" borderId="5" applyAlignment="1" applyProtection="1" pivotButton="0" quotePrefix="0" xfId="0">
      <alignment horizontal="center" vertical="center" wrapText="1"/>
      <protection locked="0" hidden="0"/>
    </xf>
    <xf numFmtId="0" fontId="27" fillId="0" borderId="0" pivotButton="0" quotePrefix="0" xfId="0"/>
    <xf numFmtId="1" fontId="18" fillId="0" borderId="0" pivotButton="0" quotePrefix="0" xfId="0"/>
    <xf numFmtId="0" fontId="29" fillId="0" borderId="0" pivotButton="0" quotePrefix="0" xfId="0"/>
    <xf numFmtId="0" fontId="30" fillId="0" borderId="0" pivotButton="0" quotePrefix="0" xfId="0"/>
    <xf numFmtId="0" fontId="28" fillId="10" borderId="0" applyAlignment="1" pivotButton="0" quotePrefix="0" xfId="0">
      <alignment horizontal="center" vertical="center" wrapText="1"/>
    </xf>
    <xf numFmtId="1" fontId="8" fillId="0" borderId="0" applyAlignment="1" pivotButton="0" quotePrefix="0" xfId="0">
      <alignment horizontal="center" vertical="center" wrapText="1"/>
    </xf>
    <xf numFmtId="3" fontId="8" fillId="0" borderId="0" applyAlignment="1" pivotButton="0" quotePrefix="0" xfId="0">
      <alignment horizontal="center" vertical="center" wrapText="1"/>
    </xf>
    <xf numFmtId="0" fontId="8" fillId="0" borderId="0" applyAlignment="1" pivotButton="0" quotePrefix="0" xfId="0">
      <alignment horizontal="center" vertical="center" wrapText="1"/>
    </xf>
    <xf numFmtId="165" fontId="8" fillId="0" borderId="0" applyAlignment="1" pivotButton="0" quotePrefix="0" xfId="0">
      <alignment horizontal="center" vertical="center" wrapText="1"/>
    </xf>
    <xf numFmtId="0" fontId="31" fillId="6" borderId="0" pivotButton="0" quotePrefix="0" xfId="0"/>
    <xf numFmtId="0" fontId="29" fillId="2" borderId="0" applyAlignment="1" applyProtection="1" pivotButton="0" quotePrefix="0" xfId="0">
      <alignment horizontal="center" vertical="center" wrapText="1"/>
      <protection locked="0" hidden="0"/>
    </xf>
    <xf numFmtId="0" fontId="0" fillId="2" borderId="0" applyProtection="1" pivotButton="0" quotePrefix="0" xfId="0">
      <protection locked="0" hidden="0"/>
    </xf>
    <xf numFmtId="0" fontId="32" fillId="6" borderId="0" pivotButton="0" quotePrefix="0" xfId="0"/>
    <xf numFmtId="0" fontId="19" fillId="0" borderId="0" applyAlignment="1" pivotButton="0" quotePrefix="0" xfId="0">
      <alignment horizontal="right"/>
    </xf>
    <xf numFmtId="0" fontId="23" fillId="2" borderId="0" applyAlignment="1" applyProtection="1" pivotButton="0" quotePrefix="0" xfId="0">
      <alignment horizontal="center" vertical="center" wrapText="1"/>
      <protection locked="0" hidden="0"/>
    </xf>
    <xf numFmtId="165" fontId="18" fillId="0" borderId="0" pivotButton="0" quotePrefix="0" xfId="0"/>
    <xf numFmtId="0" fontId="34" fillId="0" borderId="0" pivotButton="0" quotePrefix="0" xfId="0"/>
    <xf numFmtId="165" fontId="0" fillId="2" borderId="0" applyAlignment="1" applyProtection="1" pivotButton="0" quotePrefix="0" xfId="0">
      <alignment horizontal="center" vertical="center" wrapText="1"/>
      <protection locked="0" hidden="0"/>
    </xf>
    <xf numFmtId="0" fontId="33" fillId="0" borderId="0" pivotButton="0" quotePrefix="0" xfId="0"/>
    <xf numFmtId="0" fontId="30" fillId="0" borderId="0" applyAlignment="1" pivotButton="0" quotePrefix="0" xfId="0">
      <alignment horizontal="left" vertical="center" wrapText="1"/>
    </xf>
    <xf numFmtId="0" fontId="35" fillId="11" borderId="0" applyAlignment="1" pivotButton="0" quotePrefix="0" xfId="0">
      <alignment horizontal="center" vertical="center" wrapText="1"/>
    </xf>
    <xf numFmtId="0" fontId="36" fillId="12" borderId="0" applyAlignment="1" pivotButton="0" quotePrefix="0" xfId="0">
      <alignment horizontal="center" vertical="center" wrapText="1"/>
    </xf>
    <xf numFmtId="0" fontId="37" fillId="13" borderId="0" applyAlignment="1" pivotButton="0" quotePrefix="0" xfId="0">
      <alignment horizontal="center" vertical="center" wrapText="1"/>
    </xf>
    <xf numFmtId="0" fontId="6" fillId="9"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14" borderId="0" applyAlignment="1" pivotButton="0" quotePrefix="0" xfId="0">
      <alignment horizontal="center" vertical="center" wrapText="1"/>
    </xf>
    <xf numFmtId="0" fontId="0" fillId="10" borderId="0" pivotButton="0" quotePrefix="0" xfId="0"/>
    <xf numFmtId="0" fontId="40" fillId="10" borderId="0" applyAlignment="1" pivotButton="0" quotePrefix="0" xfId="0">
      <alignment horizontal="right"/>
    </xf>
    <xf numFmtId="0" fontId="40" fillId="10" borderId="0" applyAlignment="1" pivotButton="0" quotePrefix="0" xfId="0">
      <alignment horizontal="center" vertical="center" wrapText="1"/>
    </xf>
    <xf numFmtId="167" fontId="41" fillId="10" borderId="0" applyAlignment="1" pivotButton="0" quotePrefix="0" xfId="0">
      <alignment horizontal="center" vertical="center" wrapText="1"/>
    </xf>
    <xf numFmtId="0" fontId="33" fillId="0" borderId="0" applyAlignment="1" pivotButton="0" quotePrefix="0" xfId="0">
      <alignment horizontal="center" vertical="center" wrapText="1"/>
    </xf>
    <xf numFmtId="0" fontId="42" fillId="0" borderId="0" pivotButton="0" quotePrefix="0" xfId="0"/>
    <xf numFmtId="0" fontId="43" fillId="0" borderId="0" applyAlignment="1" pivotButton="0" quotePrefix="0" xfId="0">
      <alignment horizontal="center" vertical="center" wrapText="1"/>
    </xf>
    <xf numFmtId="0" fontId="44" fillId="0" borderId="0" pivotButton="0" quotePrefix="0" xfId="0"/>
    <xf numFmtId="0" fontId="43" fillId="0" borderId="0" pivotButton="0" quotePrefix="0" xfId="0"/>
    <xf numFmtId="0" fontId="18"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36"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8" fillId="0" borderId="2" applyAlignment="1" pivotButton="0" quotePrefix="0" xfId="0">
      <alignment horizontal="left" vertical="center" wrapText="1"/>
    </xf>
    <xf numFmtId="0" fontId="8" fillId="0" borderId="2" applyAlignment="1" pivotButton="0" quotePrefix="0" xfId="0">
      <alignment horizontal="center" vertical="center" wrapText="1"/>
    </xf>
    <xf numFmtId="165" fontId="8" fillId="0" borderId="2" applyAlignment="1" pivotButton="0" quotePrefix="0" xfId="0">
      <alignment horizontal="center" vertical="center" wrapText="1"/>
    </xf>
    <xf numFmtId="0" fontId="9" fillId="3" borderId="2" applyAlignment="1" pivotButton="0" quotePrefix="0" xfId="0">
      <alignment horizontal="center" vertical="center" wrapText="1"/>
    </xf>
    <xf numFmtId="0" fontId="10" fillId="4" borderId="0" applyAlignment="1" pivotButton="0" quotePrefix="0" xfId="0">
      <alignment horizontal="left" vertical="center" wrapText="1"/>
    </xf>
    <xf numFmtId="0" fontId="11" fillId="5" borderId="0" applyAlignment="1" pivotButton="0" quotePrefix="0" xfId="0">
      <alignment horizontal="left" vertical="center" wrapText="1"/>
    </xf>
    <xf numFmtId="0" fontId="12" fillId="0" borderId="0" applyAlignment="1" pivotButton="0" quotePrefix="0" xfId="0">
      <alignment horizontal="left" vertical="center" wrapText="1"/>
    </xf>
    <xf numFmtId="166" fontId="8" fillId="0" borderId="2" applyAlignment="1" pivotButton="0" quotePrefix="0" xfId="0">
      <alignment horizontal="center" vertical="center" wrapText="1"/>
    </xf>
  </cellXfs>
  <cellStyles count="1">
    <cellStyle name="Normal" xfId="0" builtinId="0" hidden="0"/>
  </cellStyles>
  <dxfs count="19">
    <dxf>
      <font>
        <name val="Arial"/>
        <b val="1"/>
        <color rgb="001F8A5B"/>
        <sz val="26"/>
      </font>
    </dxf>
    <dxf>
      <font>
        <name val="Arial"/>
        <b val="1"/>
        <color rgb="00C0392B"/>
        <sz val="26"/>
      </font>
    </dxf>
    <dxf>
      <font>
        <name val="Arial"/>
        <b val="1"/>
        <color rgb="00C0392B"/>
        <sz val="14"/>
      </font>
    </dxf>
    <dxf>
      <font>
        <name val="Arial"/>
        <b val="1"/>
        <color rgb="00C0392B"/>
      </font>
    </dxf>
    <dxf>
      <font>
        <name val="Arial"/>
        <b val="1"/>
        <color rgb="001F8A5B"/>
      </font>
    </dxf>
    <dxf>
      <font>
        <name val="Arial"/>
        <b val="1"/>
        <color rgb="00A8660B"/>
      </font>
    </dxf>
    <dxf>
      <border>
        <bottom style="thin">
          <color rgb="00D9DDE5"/>
        </bottom>
      </border>
    </dxf>
    <dxf>
      <font>
        <name val="Arial"/>
        <b val="1"/>
        <color rgb="00C0392B"/>
      </font>
      <fill>
        <patternFill patternType="solid">
          <fgColor rgb="00FBE6E3"/>
          <bgColor rgb="00FBE6E3"/>
        </patternFill>
      </fill>
    </dxf>
    <dxf>
      <font>
        <name val="Arial"/>
        <b val="1"/>
        <color rgb="00A8660B"/>
      </font>
      <fill>
        <patternFill patternType="solid">
          <fgColor rgb="00FBF0DC"/>
          <bgColor rgb="00FBF0DC"/>
        </patternFill>
      </fill>
    </dxf>
    <dxf>
      <font>
        <name val="Arial"/>
        <color rgb="00C3C8D2"/>
      </font>
    </dxf>
    <dxf>
      <font>
        <name val="Arial"/>
        <b val="1"/>
        <color rgb="001F8A5B"/>
      </font>
      <fill>
        <patternFill patternType="solid">
          <fgColor rgb="00DDF2E7"/>
          <bgColor rgb="00DDF2E7"/>
        </patternFill>
      </fill>
    </dxf>
    <dxf>
      <font>
        <name val="Arial"/>
        <b val="1"/>
        <color rgb="00FFFFFF"/>
      </font>
      <fill>
        <patternFill patternType="solid">
          <fgColor rgb="00C0392B"/>
          <bgColor rgb="00C0392B"/>
        </patternFill>
      </fill>
    </dxf>
    <dxf>
      <font>
        <name val="Arial"/>
        <b val="1"/>
        <color rgb="00B0245E"/>
      </font>
      <fill>
        <patternFill patternType="solid">
          <fgColor rgb="00F9DCE7"/>
          <bgColor rgb="00F9DCE7"/>
        </patternFill>
      </fill>
    </dxf>
    <dxf>
      <font>
        <name val="Arial"/>
        <b val="1"/>
        <color rgb="003558B8"/>
      </font>
      <fill>
        <patternFill patternType="solid">
          <fgColor rgb="00E3EAFA"/>
          <bgColor rgb="00E3EAFA"/>
        </patternFill>
      </fill>
    </dxf>
    <dxf>
      <font>
        <name val="Arial"/>
        <b val="1"/>
        <color rgb="001F8A5B"/>
        <sz val="7"/>
      </font>
    </dxf>
    <dxf>
      <font>
        <name val="Arial"/>
        <b val="1"/>
        <color rgb="00C0392B"/>
        <sz val="7"/>
      </font>
    </dxf>
    <dxf>
      <font>
        <name val="Arial"/>
        <b val="1"/>
        <color rgb="00FFFFFF"/>
      </font>
      <fill>
        <patternFill patternType="solid">
          <fgColor rgb="00C0392B"/>
          <bgColor rgb="00C0392B"/>
        </patternFill>
      </fill>
      <border>
        <left style="thin">
          <color rgb="00C0392B"/>
        </left>
        <right style="thin">
          <color rgb="00C0392B"/>
        </right>
      </border>
    </dxf>
    <dxf>
      <fill>
        <patternFill patternType="solid">
          <fgColor rgb="00FFF5F5"/>
          <bgColor rgb="00FFF5F5"/>
        </patternFill>
      </fill>
      <border>
        <left style="thin">
          <color rgb="00C0392B"/>
        </left>
        <right style="thin">
          <color rgb="00C0392B"/>
        </right>
      </border>
    </dxf>
    <dxf>
      <font>
        <name val="Arial"/>
        <color rgb="001F8A5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 Id="rIdDAmeta" Type="http://schemas.openxmlformats.org/officeDocument/2006/relationships/sheetMetadata" Target="metadata.xml"/></Relationships>
</file>

<file path=xl/tables/table1.xml><?xml version="1.0" encoding="utf-8"?>
<table xmlns="http://schemas.openxmlformats.org/spreadsheetml/2006/main" id="1" name="tblContracts" displayName="tblContracts" ref="A7:M19" headerRowCount="1">
  <autoFilter ref="A7:M19"/>
  <tableColumns count="13">
    <tableColumn id="1" name="Contract ID"/>
    <tableColumn id="2" name="Friendly name"/>
    <tableColumn id="3" name="Project"/>
    <tableColumn id="4" name="Top-level assembly code"/>
    <tableColumn id="5" name="Amps per repeater"/>
    <tableColumn id="6" name="Total repeaters required"/>
    <tableColumn id="7" name="Kit-release lead (weeks before final build)"/>
    <tableColumn id="8" name="AMPS-build lead (weeks before final build)"/>
    <tableColumn id="9" name="Plan revision"/>
    <tableColumn id="10" name="Plan updated on"/>
    <tableColumn id="11" name="Plan updated by"/>
    <tableColumn id="12" name="Notes"/>
    <tableColumn id="13" name="Setup check">
      <calculatedColumnFormula>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calculatedColumnFormula>
    </tableColumn>
  </tableColumns>
  <tableStyleInfo name="TableStyleLight1" showRowStripes="0"/>
</table>
</file>

<file path=xl/tables/table2.xml><?xml version="1.0" encoding="utf-8"?>
<table xmlns="http://schemas.openxmlformats.org/spreadsheetml/2006/main" id="2" name="tblAssemblies" displayName="tblAssemblies" ref="A7:L37" headerRowCount="1">
  <autoFilter ref="A7:L37"/>
  <tableColumns count="12">
    <tableColumn id="1" name="Contract"/>
    <tableColumn id="2" name="Assembly group"/>
    <tableColumn id="3" name="Assembly code"/>
    <tableColumn id="4" name="Description"/>
    <tableColumn id="5" name="Qty per repeater"/>
    <tableColumn id="6" name="Cumulative supplied to date"/>
    <tableColumn id="7" name="Updated on"/>
    <tableColumn id="8" name="Updated by"/>
    <tableColumn id="9" name="Source reference"/>
    <tableColumn id="10" name="Correction note"/>
    <tableColumn id="11" name="Complete sets (calc)">
      <calculatedColumnFormula>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calculatedColumnFormula>
    </tableColumn>
    <tableColumn id="12" name="Check (calc)">
      <calculatedColumnFormula>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calculatedColumnFormula>
    </tableColumn>
  </tableColumns>
  <tableStyleInfo name="TableStyleLight1" showRowStripes="0"/>
</table>
</file>

<file path=xl/tables/table3.xml><?xml version="1.0" encoding="utf-8"?>
<table xmlns="http://schemas.openxmlformats.org/spreadsheetml/2006/main" id="3" name="tblPlan" displayName="tblPlan" ref="A6:F152" headerRowCount="1">
  <autoFilter ref="A6:F152"/>
  <tableColumns count="6">
    <tableColumn id="1" name="Contract"/>
    <tableColumn id="2" name="Final build week (Monday)"/>
    <tableColumn id="3" name="Repeaters planned"/>
    <tableColumn id="4" name="Note"/>
    <tableColumn id="5" name="ISO week (calc)">
      <calculatedColumnFormula>IF(ISNUMBER(tblPlan[[#This Row],[Final build week (Monday)]]),"W"&amp;TEXT(_xlfn.ISOWEEKNUM(tblPlan[[#This Row],[Final build week (Monday)]]),"00")&amp;"-"&amp;YEAR(tblPlan[[#This Row],[Final build week (Monday)]]-WEEKDAY(tblPlan[[#This Row],[Final build week (Monday)]],2)+4),"")</calculatedColumnFormula>
    </tableColumn>
    <tableColumn id="6" name="Check (calc)">
      <calculatedColumnFormula>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calculatedColumnFormula>
    </tableColumn>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B1:C49"/>
  <sheetViews>
    <sheetView showGridLines="0" workbookViewId="0">
      <selection activeCell="A1" sqref="A1"/>
    </sheetView>
  </sheetViews>
  <sheetFormatPr baseColWidth="8" defaultRowHeight="15"/>
  <cols>
    <col width="2" customWidth="1" min="1" max="1"/>
    <col width="30" customWidth="1" min="2" max="2"/>
    <col width="110" customWidth="1" min="3" max="3"/>
  </cols>
  <sheetData>
    <row r="1" ht="34" customHeight="1">
      <c r="B1" s="1" t="inlineStr">
        <is>
          <t>R5B AMP KITTING CONTROL — START HERE</t>
        </is>
      </c>
      <c r="C1" s="2" t="n"/>
    </row>
    <row r="2">
      <c r="B2" s="3" t="inlineStr">
        <is>
          <t>Microsoft 365 workbook. No macros, no external connections. Yellow = you type. Grey = calculated, do not type.</t>
        </is>
      </c>
      <c r="C2" s="2" t="n"/>
    </row>
    <row r="4">
      <c r="B4" s="4" t="inlineStr">
        <is>
          <t>EVERY WEEK — UPDATE SUPPLIED TOTALS</t>
        </is>
      </c>
      <c r="C4" s="5" t="n"/>
    </row>
    <row r="5" ht="18" customHeight="1">
      <c r="B5" s="6" t="inlineStr">
        <is>
          <t>Where</t>
        </is>
      </c>
      <c r="C5" s="7" t="inlineStr">
        <is>
          <t>'Assemblies &amp; Totals'. Find the row for the contract and assembly code.</t>
        </is>
      </c>
    </row>
    <row r="6" ht="30" customHeight="1">
      <c r="B6" s="6" t="inlineStr">
        <is>
          <t>Rule</t>
        </is>
      </c>
      <c r="C6" s="7" t="inlineStr">
        <is>
          <t>Enter the TOTAL supplied to date, not this week's additions. If the existing total is 26 and another 4 are supplied, enter 30.</t>
        </is>
      </c>
    </row>
    <row r="7" ht="18" customHeight="1">
      <c r="B7" s="6" t="inlineStr">
        <is>
          <t>Then fill</t>
        </is>
      </c>
      <c r="C7" s="7" t="inlineStr">
        <is>
          <t>Updated on (date) · Updated by (your name) · Source reference (e.g. the SAP export filename you checked).</t>
        </is>
      </c>
    </row>
    <row r="8" ht="30" customHeight="1">
      <c r="B8" s="6" t="inlineStr">
        <is>
          <t>Worked example</t>
        </is>
      </c>
      <c r="C8" s="7" t="inlineStr">
        <is>
          <t>Spool 92RRA00548AAA shows 312. This week 24 more were supplied. Type 336 in 'Cumulative supplied to date', today's date in 'Updated on', your name, and e.g. 'COOIS_E2A_2026-10-12.xlsx'.</t>
        </is>
      </c>
    </row>
    <row r="9" ht="30" customHeight="1">
      <c r="B9" s="6" t="inlineStr">
        <is>
          <t>Correcting a mistake</t>
        </is>
      </c>
      <c r="C9" s="7" t="inlineStr">
        <is>
          <t>Type the correct total (it may be lower) and write why in 'Correction note', e.g. '-3: duplicate WO counted on 05-Oct'. The workbook does not keep old values, so the note is the record.</t>
        </is>
      </c>
    </row>
    <row r="11">
      <c r="B11" s="4" t="inlineStr">
        <is>
          <t>READING THE DASHBOARD</t>
        </is>
      </c>
      <c r="C11" s="5" t="n"/>
    </row>
    <row r="12" ht="18" customHeight="1">
      <c r="B12" s="6" t="inlineStr">
        <is>
          <t>Pick a contract</t>
        </is>
      </c>
      <c r="C12" s="7" t="inlineStr">
        <is>
          <t>Yellow cell at the top of 'Dashboard'. The list grows automatically when contracts are added.</t>
        </is>
      </c>
    </row>
    <row r="13" ht="45" customHeight="1">
      <c r="B13" s="6" t="inlineStr">
        <is>
          <t>Complete repeater kits released</t>
        </is>
      </c>
      <c r="C13" s="7" t="inlineStr">
        <is>
          <t>One complete repeater kit means every required assembly has been supplied. It does not mean the repeater has finished production. It is the LOWEST number of complete sets across the contract's assemblies; the limiting row is red in the list.</t>
        </is>
      </c>
    </row>
    <row r="14" ht="30" customHeight="1">
      <c r="B14" s="6" t="inlineStr">
        <is>
          <t>Kits due by this week</t>
        </is>
      </c>
      <c r="C14" s="7" t="inlineStr">
        <is>
          <t>Repeaters whose kit-release week (final build week minus the kit lead) is this week or earlier. Compared with current plan, not the original commitment.</t>
        </is>
      </c>
    </row>
    <row r="15" ht="18" customHeight="1">
      <c r="B15" s="6" t="inlineStr">
        <is>
          <t>Ahead / behind current plan</t>
        </is>
      </c>
      <c r="C15" s="7" t="inlineStr">
        <is>
          <t>Complete kits minus kits due by this week.</t>
        </is>
      </c>
    </row>
    <row r="16" ht="18" customHeight="1">
      <c r="B16" s="6" t="inlineStr">
        <is>
          <t>Kits due over the next four weeks</t>
        </is>
      </c>
      <c r="C16" s="7" t="inlineStr">
        <is>
          <t>Repeaters whose kit-release week falls in the next four weeks.</t>
        </is>
      </c>
    </row>
    <row r="17" ht="30" customHeight="1">
      <c r="B17" s="6" t="inlineStr">
        <is>
          <t>Target</t>
        </is>
      </c>
      <c r="C17" s="7" t="inlineStr">
        <is>
          <t>Yellow cell. Blank = kits due by this week + next four weeks. Type a number to plan a specific batch. 'Additional needed' = max(0, target × qty per repeater − supplied).</t>
        </is>
      </c>
    </row>
    <row r="18" ht="30" customHeight="1">
      <c r="B18" s="6" t="inlineStr">
        <is>
          <t>Supplied totals line</t>
        </is>
      </c>
      <c r="C18" s="7" t="inlineStr">
        <is>
          <t>Shows the latest and oldest update dates, mixed dates, missing dates, and OUT OF DATE when the oldest is older than the interval on 'Contracts' (cell C4).</t>
        </is>
      </c>
    </row>
    <row r="19" ht="30" customHeight="1">
      <c r="B19" s="6" t="inlineStr">
        <is>
          <t>Next action</t>
        </is>
      </c>
      <c r="C19" s="7" t="inlineStr">
        <is>
          <t>One concrete step taken from the data (setup → update totals → shortage → covered). It never states production status, availability or completion dates.</t>
        </is>
      </c>
    </row>
    <row r="20" ht="45" customHeight="1">
      <c r="B20" s="6" t="inlineStr">
        <is>
          <t>Gantt</t>
        </is>
      </c>
      <c r="C20" s="7" t="inlineStr">
        <is>
          <t>Pick a contract. Weekly quantities for kit release, AMPS build and final build (scheduled). Red line = this week. 'Kit coverage' compares cumulative kits due with current complete kits. Plan rows outside the 52-week view are counted above the grid.</t>
        </is>
      </c>
    </row>
    <row r="22">
      <c r="B22" s="4" t="inlineStr">
        <is>
          <t>CONTRACT SETUP (once per contract)</t>
        </is>
      </c>
      <c r="C22" s="5" t="n"/>
    </row>
    <row r="23" ht="30" customHeight="1">
      <c r="B23" s="6" t="inlineStr">
        <is>
          <t>1. Contracts</t>
        </is>
      </c>
      <c r="C23" s="7" t="inlineStr">
        <is>
          <t>Add a row: unique Contract ID, friendly name, project, top-level ++ code, amps per repeater, total repeaters required, kit-release lead (default 2), AMPS-build lead (default 1), plan revision/date/updater, notes.</t>
        </is>
      </c>
    </row>
    <row r="24" ht="30" customHeight="1">
      <c r="B24" s="6" t="inlineStr">
        <is>
          <t>2. Assemblies &amp; Totals</t>
        </is>
      </c>
      <c r="C24" s="7" t="inlineStr">
        <is>
          <t>One row per required assembly code from the ZMRP breakdown: contract, group (LASER ASSY…), code, description, qty per repeater, cumulative supplied (0 if none), update details. The same code in two contracts = two rows.</t>
        </is>
      </c>
    </row>
    <row r="25" ht="18" customHeight="1">
      <c r="B25" s="6" t="inlineStr">
        <is>
          <t>3. Weekly Plan</t>
        </is>
      </c>
      <c r="C25" s="7" t="inlineStr">
        <is>
          <t>One row per final build week: contract, Monday date, repeaters planned.</t>
        </is>
      </c>
    </row>
    <row r="26" ht="30" customHeight="1">
      <c r="B26" s="6" t="inlineStr">
        <is>
          <t>Checks</t>
        </is>
      </c>
      <c r="C26" s="7" t="inlineStr">
        <is>
          <t>Each input sheet has a Check column. Anything other than OK needs fixing. 'Assembly setup required' = no assemblies yet.</t>
        </is>
      </c>
    </row>
    <row r="28">
      <c r="B28" s="4" t="inlineStr">
        <is>
          <t>PLAN MAINTENANCE</t>
        </is>
      </c>
      <c r="C28" s="5" t="n"/>
    </row>
    <row r="29" ht="18" customHeight="1">
      <c r="B29" s="6" t="inlineStr">
        <is>
          <t>Move a batch</t>
        </is>
      </c>
      <c r="C29" s="7" t="inlineStr">
        <is>
          <t>Change the Monday date on its row.</t>
        </is>
      </c>
    </row>
    <row r="30" ht="18" customHeight="1">
      <c r="B30" s="6" t="inlineStr">
        <is>
          <t>Change quantity</t>
        </is>
      </c>
      <c r="C30" s="7" t="inlineStr">
        <is>
          <t>Change 'Repeaters planned'.</t>
        </is>
      </c>
    </row>
    <row r="31" ht="18" customHeight="1">
      <c r="B31" s="6" t="inlineStr">
        <is>
          <t>Split</t>
        </is>
      </c>
      <c r="C31" s="7" t="inlineStr">
        <is>
          <t>Reduce the quantity on the row and add a new row for the other week.</t>
        </is>
      </c>
    </row>
    <row r="32" ht="18" customHeight="1">
      <c r="B32" s="6" t="inlineStr">
        <is>
          <t>Cancel</t>
        </is>
      </c>
      <c r="C32" s="7" t="inlineStr">
        <is>
          <t>Delete the row (or set the quantity to 0).</t>
        </is>
      </c>
    </row>
    <row r="33" ht="45" customHeight="1">
      <c r="B33" s="6" t="inlineStr">
        <is>
          <t>Replace a contract's whole plan</t>
        </is>
      </c>
      <c r="C33" s="7" t="inlineStr">
        <is>
          <t>Filter 'Contract' on 'Weekly Plan', select and delete ALL of that contract's rows (right-click → Delete → Table Rows), clear the filter, paste the new rows at the bottom of the table. Do not keep old and new rows together. Update Plan revision / updated on / updated by on 'Contracts'. Other contracts are not affected.</t>
        </is>
      </c>
    </row>
    <row r="34" ht="30" customHeight="1">
      <c r="B34" s="6" t="inlineStr">
        <is>
          <t>Dates</t>
        </is>
      </c>
      <c r="C34" s="7" t="inlineStr">
        <is>
          <t>Always the MONDAY of the final build (housing) week. ISO week labels are calculated, so year boundaries (W52/W53 → W01) work automatically.</t>
        </is>
      </c>
    </row>
    <row r="36">
      <c r="B36" s="4" t="inlineStr">
        <is>
          <t>SOURCES, FILES AND BACKUPS</t>
        </is>
      </c>
      <c r="C36" s="5" t="n"/>
    </row>
    <row r="37" ht="30" customHeight="1">
      <c r="B37" s="6" t="inlineStr">
        <is>
          <t>Verified supplied totals</t>
        </is>
      </c>
      <c r="C37" s="7" t="inlineStr">
        <is>
          <t>Production controller / kitting lead, from SAP (COOIS for released orders, CO41 for release dates, ZMRP for the assembly breakdown). Record the export filename in 'Source reference'.</t>
        </is>
      </c>
    </row>
    <row r="38" ht="18" customHeight="1">
      <c r="B38" s="6" t="inlineStr">
        <is>
          <t>Plan</t>
        </is>
      </c>
      <c r="C38" s="7" t="inlineStr">
        <is>
          <t>Production planning (PLAN / ASP export). Record its name in 'Plan revision' on 'Contracts'.</t>
        </is>
      </c>
    </row>
    <row r="39" ht="18" customHeight="1">
      <c r="B39" s="6" t="inlineStr">
        <is>
          <t>SAP exports</t>
        </is>
      </c>
      <c r="C39" s="7" t="inlineStr">
        <is>
          <t>Keep full exports in the company folder for SAP exports — never paste them into this workbook (it keeps it fast).</t>
        </is>
      </c>
    </row>
    <row r="40" ht="30" customHeight="1">
      <c r="B40" s="6" t="inlineStr">
        <is>
          <t>History archive</t>
        </is>
      </c>
      <c r="C40" s="7" t="inlineStr">
        <is>
          <t>'R5B-AMP-Release-Log-Archive.xlsx' holds the old Release Log (182 lines) and the migration reconciliation. It is read-only history; this workbook does not use it.</t>
        </is>
      </c>
    </row>
    <row r="41" ht="30" customHeight="1">
      <c r="B41" s="6" t="inlineStr">
        <is>
          <t>Backups</t>
        </is>
      </c>
      <c r="C41" s="7" t="inlineStr">
        <is>
          <t>Save a dated copy before replacing a plan or doing large updates (e.g. R5B-AMP-Kitting-Control_2026-10-05.xlsx) in the team backup folder.</t>
        </is>
      </c>
    </row>
    <row r="42" ht="30" customHeight="1">
      <c r="B42" s="6" t="inlineStr">
        <is>
          <t>Why no import</t>
        </is>
      </c>
      <c r="C42" s="7" t="inlineStr">
        <is>
          <t>A this-week-only SAP export cannot give the cumulative total without a verified opening balance, so totals are typed from a verified cumulative figure.</t>
        </is>
      </c>
    </row>
    <row r="44">
      <c r="B44" s="4" t="inlineStr">
        <is>
          <t>IF A FORMULA IS OVERWRITTEN</t>
        </is>
      </c>
      <c r="C44" s="5" t="n"/>
    </row>
    <row r="45" ht="30" customHeight="1">
      <c r="B45" s="6" t="inlineStr">
        <is>
          <t>Grey table columns</t>
        </is>
      </c>
      <c r="C45" s="7" t="inlineStr">
        <is>
          <t>Copy a grey cell from the row above and paste it into the broken cell; or type the formula once in any cell of the column and Excel refills the whole column. Formulas are listed below.</t>
        </is>
      </c>
    </row>
    <row r="46" ht="30" customHeight="1">
      <c r="B46" s="6" t="inlineStr">
        <is>
          <t>Complete sets (calc)</t>
        </is>
      </c>
      <c r="C46" s="7" t="inlineStr">
        <is>
          <t>Type: =IF(AND(ISNUMBER([@[Qty per repeater]]),[@[Qty per repeater]]&gt;0,[@[Qty per repeater]]=INT([@[Qty per repeater]])),INT(IF(ISNUMBER([@[Cumulative supplied to date]]),[@[Cumulative supplied to date]],0)/[@[Qty per repeater]]),"")</t>
        </is>
      </c>
    </row>
    <row r="47" ht="18" customHeight="1">
      <c r="B47" s="6" t="inlineStr">
        <is>
          <t>Check columns</t>
        </is>
      </c>
      <c r="C47" s="7" t="inlineStr">
        <is>
          <t>Copy from the row above (same table).</t>
        </is>
      </c>
    </row>
    <row r="48" ht="30" customHeight="1">
      <c r="B48" s="6" t="inlineStr">
        <is>
          <t>ISO week (calc)</t>
        </is>
      </c>
      <c r="C48" s="7" t="inlineStr">
        <is>
          <t>Type: =IF(ISNUMBER([@[Final build week (Monday)]]),"W"&amp;TEXT(ISOWEEKNUM([@[Final build week (Monday)]]),"00")&amp;"-"&amp;YEAR([@[Final build week (Monday)]]-WEEKDAY([@[Final build week (Monday)]],2)+4),"")</t>
        </is>
      </c>
    </row>
    <row r="49" ht="30" customHeight="1">
      <c r="B49" s="6" t="inlineStr">
        <is>
          <t>Dashboard / Gantt</t>
        </is>
      </c>
      <c r="C49" s="7" t="inlineStr">
        <is>
          <t>These sheets are protected (no password) so formulas cannot be overwritten by accident. Review → Unprotect Sheet only for maintenance, then protect again.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1:P420"/>
  <sheetViews>
    <sheetView showGridLines="0" zoomScale="85" workbookViewId="0">
      <pane ySplit="4" topLeftCell="A5" activePane="bottomLeft" state="frozen"/>
      <selection pane="bottomLeft" activeCell="A1" sqref="A1"/>
    </sheetView>
  </sheetViews>
  <sheetFormatPr baseColWidth="8" defaultRowHeight="15"/>
  <cols>
    <col width="2" customWidth="1" min="1" max="1"/>
    <col width="17" customWidth="1" min="2" max="2"/>
    <col width="17" customWidth="1" min="3" max="3"/>
    <col width="36" customWidth="1" min="4" max="4"/>
    <col width="10" customWidth="1" min="5" max="5"/>
    <col width="12" customWidth="1" min="6" max="6"/>
    <col width="11" customWidth="1" min="7" max="7"/>
    <col width="13" customWidth="1" min="8" max="8"/>
    <col width="13" customWidth="1" min="9" max="9"/>
    <col width="13" customWidth="1" min="10" max="10"/>
    <col width="12" customWidth="1" min="11" max="11"/>
    <col width="26" customWidth="1" min="12" max="12"/>
    <col width="2" customWidth="1" min="13" max="13"/>
    <col hidden="1" width="13" customWidth="1" min="15" max="15"/>
    <col hidden="1" width="13" customWidth="1" min="16" max="16"/>
  </cols>
  <sheetData>
    <row r="1">
      <c r="B1" s="2" t="n"/>
      <c r="C1" s="2" t="n"/>
      <c r="D1" s="2" t="n"/>
      <c r="E1" s="2" t="n"/>
      <c r="F1" s="2" t="n"/>
      <c r="G1" s="2" t="n"/>
      <c r="H1" s="2" t="n"/>
      <c r="I1" s="2" t="n"/>
      <c r="J1" s="2" t="n"/>
      <c r="K1" s="2" t="n"/>
      <c r="L1" s="2" t="n"/>
      <c r="O1" s="8" t="inlineStr">
        <is>
          <t>Kits (number or message)</t>
        </is>
      </c>
      <c r="P1" s="8">
        <f>IF(COUNTIF(tblAssemblies[Contract],$C$3)=0,"Assembly setup required",IF(OR(COUNTIFS(tblAssemblies[Contract],$C$3,tblAssemblies[Complete sets (calc)],"")&gt;0,P10&gt;0),"Setup incomplete",_xlfn.MINIFS(tblAssemblies[Complete sets (calc)],tblAssemblies[Contract],$C$3)))</f>
        <v/>
      </c>
    </row>
    <row r="2" ht="34" customHeight="1">
      <c r="B2" s="9" t="inlineStr">
        <is>
          <t>R5B AMP KITTING CONTROL</t>
        </is>
      </c>
      <c r="C2" s="2" t="n"/>
      <c r="D2" s="2" t="n"/>
      <c r="E2" s="2" t="n"/>
      <c r="F2" s="2" t="n"/>
      <c r="G2" s="2" t="n"/>
      <c r="H2" s="2" t="n"/>
      <c r="I2" s="2" t="n"/>
      <c r="J2" s="2" t="n"/>
      <c r="K2" s="2" t="n"/>
      <c r="L2" s="2" t="n"/>
      <c r="O2" s="8" t="inlineStr">
        <is>
          <t>Total required</t>
        </is>
      </c>
      <c r="P2" s="8">
        <f>IFERROR(INDEX(tblContracts[Total repeaters required],MATCH($C$3,tblContracts[Contract ID],0)),0)</f>
        <v/>
      </c>
    </row>
    <row r="3" ht="28" customHeight="1">
      <c r="B3" s="10" t="inlineStr">
        <is>
          <t>CONTRACT ▸</t>
        </is>
      </c>
      <c r="C3" s="11" t="inlineStr">
        <is>
          <t>E2A-R12P-T5-C</t>
        </is>
      </c>
      <c r="D3" s="12" t="n"/>
      <c r="E3" s="13">
        <f>IFERROR(INDEX(tblContracts[Friendly name],MATCH($C$3,tblContracts[Contract ID],0))&amp;"  ·  "&amp;INDEX(tblContracts[Top-level assembly code],MATCH($C$3,tblContracts[Contract ID],0))&amp;"  ·  "&amp;INDEX(tblContracts[Amps per repeater],MATCH($C$3,tblContracts[Contract ID],0))&amp;" amps per repeater","Contract not found — pick from the list")</f>
        <v/>
      </c>
      <c r="J3" s="14">
        <f>"Today "&amp;TEXT(TODAY(),"dd-mmm-yy")&amp;"  ·  week W"&amp;TEXT(_xlfn.ISOWEEKNUM(TODAY()),"00")&amp;" (starts "&amp;TEXT(ThisWeek,"dd-mmm")&amp;")"</f>
        <v/>
      </c>
      <c r="O3" s="8" t="inlineStr">
        <is>
          <t>Kit lead (weeks)</t>
        </is>
      </c>
      <c r="P3" s="8">
        <f>IFERROR(INDEX(tblContracts[Kit-release lead (weeks before final build)],MATCH($C$3,tblContracts[Contract ID],0)),0)</f>
        <v/>
      </c>
    </row>
    <row r="4">
      <c r="O4" s="8" t="inlineStr">
        <is>
          <t>AMPS lead (weeks)</t>
        </is>
      </c>
      <c r="P4" s="8">
        <f>IFERROR(INDEX(tblContracts[AMPS-build lead (weeks before final build)],MATCH($C$3,tblContracts[Contract ID],0)),0)</f>
        <v/>
      </c>
    </row>
    <row r="5" ht="24" customHeight="1">
      <c r="B5" s="15" t="inlineStr">
        <is>
          <t>One complete repeater kit means every required assembly has been supplied. It does not mean the repeater has finished production.</t>
        </is>
      </c>
      <c r="O5" s="8" t="inlineStr">
        <is>
          <t>Kits due by this week</t>
        </is>
      </c>
      <c r="P5" s="8">
        <f>SUMIFS(tblPlan[Repeaters planned],tblPlan[Contract],$C$3,tblPlan[Final build week (Monday)],"&lt;"&amp;(ThisWeek+7*(P3+1)))</f>
        <v/>
      </c>
    </row>
    <row r="6">
      <c r="O6" s="8" t="inlineStr">
        <is>
          <t>Kits due next 4 weeks</t>
        </is>
      </c>
      <c r="P6" s="8">
        <f>SUMIFS(tblPlan[Repeaters planned],tblPlan[Contract],$C$3,tblPlan[Final build week (Monday)],"&gt;="&amp;(ThisWeek+7*(P3+1)),tblPlan[Final build week (Monday)],"&lt;"&amp;(ThisWeek+7*(P3+5)))</f>
        <v/>
      </c>
    </row>
    <row r="7" ht="30" customHeight="1">
      <c r="B7" s="16" t="inlineStr">
        <is>
          <t>COMPLETE REPEATER KITS RELEASED</t>
        </is>
      </c>
      <c r="C7" s="17" t="n"/>
      <c r="D7" s="16" t="inlineStr">
        <is>
          <t>KITS DUE BY THIS WEEK</t>
        </is>
      </c>
      <c r="E7" s="16" t="inlineStr">
        <is>
          <t>AHEAD / BEHIND CURRENT PLAN</t>
        </is>
      </c>
      <c r="F7" s="17" t="n"/>
      <c r="G7" s="17" t="n"/>
      <c r="H7" s="16" t="inlineStr">
        <is>
          <t>KITS DUE OVER THE NEXT FOUR WEEKS</t>
        </is>
      </c>
      <c r="I7" s="17" t="n"/>
      <c r="J7" s="16" t="inlineStr">
        <is>
          <t>ADDITIONAL ASSEMBLIES NEEDED TO REACH TARGET</t>
        </is>
      </c>
      <c r="K7" s="17" t="n"/>
      <c r="L7" s="17" t="n"/>
      <c r="O7" s="8" t="inlineStr">
        <is>
          <t>Scheduled total</t>
        </is>
      </c>
      <c r="P7" s="8">
        <f>SUMIFS(tblPlan[Repeaters planned],tblPlan[Contract],$C$3)</f>
        <v/>
      </c>
    </row>
    <row r="8" ht="46" customHeight="1">
      <c r="B8" s="18">
        <f>IF(ISNUMBER(P1),P1&amp;" of "&amp;P2,P1)</f>
        <v/>
      </c>
      <c r="C8" s="17" t="n"/>
      <c r="D8" s="19">
        <f>P5</f>
        <v/>
      </c>
      <c r="E8" s="19">
        <f>IF(ISNUMBER(P1),IF(P1-P5&gt;0,"+"&amp;(P1-P5),IF(P1-P5=0,"0",""&amp;(P1-P5))),"–")</f>
        <v/>
      </c>
      <c r="F8" s="17" t="n"/>
      <c r="G8" s="17" t="n"/>
      <c r="H8" s="19">
        <f>P6</f>
        <v/>
      </c>
      <c r="I8" s="17" t="n"/>
      <c r="J8" s="19">
        <f>P15</f>
        <v/>
      </c>
      <c r="K8" s="17" t="n"/>
      <c r="L8" s="17" t="n"/>
      <c r="O8" s="8" t="inlineStr">
        <is>
          <t>Target in use</t>
        </is>
      </c>
      <c r="P8" s="8">
        <f>IF(ISNUMBER($K$18),$K$18,P5+P6)</f>
        <v/>
      </c>
    </row>
    <row r="9" ht="30" customHeight="1">
      <c r="B9" s="20">
        <f>IF(ISNUMBER(P1),TEXT(IF(P2&gt;0,P1/P2,0),"0%")&amp;" of the "&amp;P2&amp;" required","See setup message below")</f>
        <v/>
      </c>
      <c r="C9" s="17" t="n"/>
      <c r="D9" s="20">
        <f>"Compared with current plan · final build up to W"&amp;TEXT(_xlfn.ISOWEEKNUM(ThisWeek+7*P3),"00")</f>
        <v/>
      </c>
      <c r="E9" s="20">
        <f>IF(ISNUMBER(P1),IF(P1-P5&gt;0,"Ahead of current plan",IF(P1-P5=0,"On current plan","Behind current plan")),"Not available until setup is complete")</f>
        <v/>
      </c>
      <c r="F9" s="17" t="n"/>
      <c r="G9" s="17" t="n"/>
      <c r="H9" s="20">
        <f>"Kit-release weeks W"&amp;TEXT(_xlfn.ISOWEEKNUM(ThisWeek+7),"00")&amp;"–W"&amp;TEXT(_xlfn.ISOWEEKNUM(ThisWeek+28),"00")</f>
        <v/>
      </c>
      <c r="I9" s="17" t="n"/>
      <c r="J9" s="20">
        <f>"Units across "&amp;P16&amp;" assembly codes · target "&amp;P8&amp;" complete kits"</f>
        <v/>
      </c>
      <c r="K9" s="17" t="n"/>
      <c r="L9" s="17" t="n"/>
      <c r="O9" s="8" t="inlineStr">
        <is>
          <t>Assemblies count</t>
        </is>
      </c>
      <c r="P9" s="8">
        <f>COUNTIF(tblAssemblies[Contract],$C$3)</f>
        <v/>
      </c>
    </row>
    <row r="10">
      <c r="O10" s="8" t="inlineStr">
        <is>
          <t>Setup issues (qty/dup/unknown)</t>
        </is>
      </c>
      <c r="P10" s="8">
        <f>COUNTIFS(tblAssemblies[Contract],$C$3,tblAssemblies[Check (calc)],"&lt;&gt;OK",tblAssemblies[Check (calc)],"&lt;&gt;Not yet updated",tblAssemblies[Check (calc)],"&lt;&gt;Supplied total missing")</f>
        <v/>
      </c>
    </row>
    <row r="11" ht="20" customHeight="1">
      <c r="B11" s="21" t="inlineStr">
        <is>
          <t>PROGRESS</t>
        </is>
      </c>
      <c r="C11" s="22">
        <f>IF(ISNUMBER(P1),REPT("█",ROUND(30*MIN(1,IF(P2&gt;0,P1/P2,0)),0))&amp;REPT("░",30-ROUND(30*MIN(1,IF(P2&gt;0,P1/P2,0)),0))&amp;"   "&amp;P1&amp;" of "&amp;P2&amp;" complete repeater kits","–")</f>
        <v/>
      </c>
      <c r="O11" s="8" t="inlineStr">
        <is>
          <t>Assemblies without update date</t>
        </is>
      </c>
      <c r="P11" s="8">
        <f>COUNTIFS(tblAssemblies[Contract],$C$3,tblAssemblies[Updated on],"")</f>
        <v/>
      </c>
    </row>
    <row r="12" ht="20" customHeight="1">
      <c r="B12" s="21" t="inlineStr">
        <is>
          <t>SCHEDULE CHECK</t>
        </is>
      </c>
      <c r="C12" s="23">
        <f>IF(P7=P2,"Scheduled total matches the contract ("&amp;P7&amp;" repeaters)",IF(P7&lt;P2,(P2-P7)&amp;" repeaters still need scheduling ("&amp;P7&amp;" scheduled of "&amp;P2&amp;")","Plan exceeds contract total by "&amp;(P7-P2)&amp;" ("&amp;P7&amp;" scheduled vs "&amp;P2&amp;" required)"))</f>
        <v/>
      </c>
      <c r="O12" s="8" t="inlineStr">
        <is>
          <t>Latest update</t>
        </is>
      </c>
      <c r="P12" s="8">
        <f>IF(P9=0,"",_xlfn.MAXIFS(tblAssemblies[Updated on],tblAssemblies[Contract],$C$3))</f>
        <v/>
      </c>
    </row>
    <row r="13" ht="20" customHeight="1">
      <c r="B13" s="21" t="inlineStr">
        <is>
          <t>PLAN REVISION</t>
        </is>
      </c>
      <c r="C13" s="24">
        <f>IFERROR(IF(INDEX(tblContracts[Plan revision],MATCH($C$3,tblContracts[Contract ID],0))&amp;""="","No plan revision recorded on Contracts",INDEX(tblContracts[Plan revision],MATCH($C$3,tblContracts[Contract ID],0)))&amp;"  ·  updated "&amp;IF(ISNUMBER(INDEX(tblContracts[Plan updated on],MATCH($C$3,tblContracts[Contract ID],0))),TEXT(INDEX(tblContracts[Plan updated on],MATCH($C$3,tblContracts[Contract ID],0)),"dd-mmm-yy"),"(date missing)")&amp;" by "&amp;IF(INDEX(tblContracts[Plan updated by],MATCH($C$3,tblContracts[Contract ID],0))&amp;""="","(name missing)",INDEX(tblContracts[Plan updated by],MATCH($C$3,tblContracts[Contract ID],0))),"")</f>
        <v/>
      </c>
      <c r="O13" s="8" t="inlineStr">
        <is>
          <t>Oldest update</t>
        </is>
      </c>
      <c r="P13" s="8">
        <f>IF(P9-P11&lt;=0,"",_xlfn.MINIFS(tblAssemblies[Updated on],tblAssemblies[Contract],$C$3,tblAssemblies[Updated on],"&lt;&gt;"))</f>
        <v/>
      </c>
    </row>
    <row r="14" ht="20" customHeight="1">
      <c r="B14" s="21" t="inlineStr">
        <is>
          <t>SUPPLIED TOTALS</t>
        </is>
      </c>
      <c r="C14" s="24">
        <f>IF(P9=0,"No assemblies set up",IF(P11=P9,"No update dates recorded for any assembly (incomplete information)","Last updated "&amp;TEXT(P12,"dd-mmm-yy")&amp;IF(P13&lt;&gt;P12,"  ·  oldest "&amp;TEXT(P13,"dd-mmm-yy")&amp;" (mixed dates)","  ·  all assemblies same date")&amp;IF(P11&gt;0,"  ·  "&amp;P11&amp;" assemblies have no update date","")&amp;IF(P18&gt;UpdateIntervalDays,"  ·  OUT OF DATE (older than "&amp;UpdateIntervalDays&amp;" days)","")))</f>
        <v/>
      </c>
      <c r="O14" s="8" t="inlineStr">
        <is>
          <t>Supplied totals missing</t>
        </is>
      </c>
      <c r="P14" s="8">
        <f>COUNTIFS(tblAssemblies[Contract],$C$3,tblAssemblies[Cumulative supplied to date],"")</f>
        <v/>
      </c>
    </row>
    <row r="15" ht="20" customHeight="1">
      <c r="B15" s="21" t="inlineStr">
        <is>
          <t>SETUP</t>
        </is>
      </c>
      <c r="C15" s="24">
        <f>IF(P9=0,"Assembly setup required — add this contract's assemblies on 'Assemblies &amp; Totals'",IF(P10&gt;0,P10&amp;" setup problem(s) — see Check column on 'Assemblies &amp; Totals'",IF(P14&gt;0,P14&amp;" assemblies have no supplied total","Setup OK ("&amp;P9&amp;" required assemblies)")))</f>
        <v/>
      </c>
      <c r="O15" s="8" t="inlineStr">
        <is>
          <t>Additional assemblies needed</t>
        </is>
      </c>
      <c r="P15" s="8" cm="1">
        <f t="array" ref="P15">IF(P9=0,0,_xlfn.LET(_xlpm.v_f,tblAssemblies[Contract]=$C$3,_xlpm.v_q,_xlfn._xlws.FILTER(tblAssemblies[Qty per repeater],_xlpm.v_f),_xlpm.v_s,_xlfn._xlws.FILTER(tblAssemblies[Cumulative supplied to date],_xlpm.v_f),_xlpm.v_ok,ISNUMBER(_xlpm.v_q)*(_xlpm.v_q&gt;0),_xlpm.v_s0,IF(ISNUMBER(_xlpm.v_s),_xlpm.v_s,0),_xlpm.v_g,IF(_xlpm.v_ok,P8*_xlpm.v_q-_xlpm.v_s0,0),SUM(IF(_xlpm.v_g&gt;0,_xlpm.v_g,0))))</f>
        <v/>
      </c>
    </row>
    <row r="16" ht="20" customHeight="1">
      <c r="B16" s="25" t="inlineStr">
        <is>
          <t>NEXT ACTION</t>
        </is>
      </c>
      <c r="C16" s="26">
        <f>IF(P9=0,"Add the required assemblies for "&amp;$C$3&amp;" on 'Assemblies &amp; Totals' (contract, group, code, description, qty per repeater).",IF(P10&gt;0,"Fix the "&amp;P10&amp;" setup problem(s) on 'Assemblies &amp; Totals' — filter the Check column for anything other than OK.",IF(OR(P11&gt;0,P14&gt;0,AND(ISNUMBER(P18),P18&gt;UpdateIntervalDays)),"Update cumulative supplied totals on 'Assemblies &amp; Totals' from the latest verified source, then fill Updated on / by / Source reference.",IF(P15&gt;0,"To reach the target of "&amp;P8&amp;" complete kits, supply "&amp;P15&amp;" more assemblies across "&amp;P16&amp;" codes. Largest gap: "&amp;P17&amp;".",IF(P8=0,"No kits are due by this week or in the next four weeks (current plan)."&amp;IF(P19="","  No later kit-release weeks are scheduled."," Next scheduled kit release: week W"&amp;TEXT(_xlfn.ISOWEEKNUM(P19-7*P3),"00")&amp;" ("&amp;P20&amp;" repeaters, final build W"&amp;TEXT(_xlfn.ISOWEEKNUM(P19),"00")&amp;")."),"Supplied totals cover the target of "&amp;P8&amp;" complete kits. No additional assemblies needed for this target.")))))</f>
        <v/>
      </c>
      <c r="O16" s="8" t="inlineStr">
        <is>
          <t>Codes short</t>
        </is>
      </c>
      <c r="P16" s="8" cm="1">
        <f t="array" ref="P16">IF(P9=0,0,_xlfn.LET(_xlpm.v_f,tblAssemblies[Contract]=$C$3,_xlpm.v_q,_xlfn._xlws.FILTER(tblAssemblies[Qty per repeater],_xlpm.v_f),_xlpm.v_s,_xlfn._xlws.FILTER(tblAssemblies[Cumulative supplied to date],_xlpm.v_f),_xlpm.v_s0,IF(ISNUMBER(_xlpm.v_s),_xlpm.v_s,0),_xlpm.v_g,IF(ISNUMBER(_xlpm.v_q)*(_xlpm.v_q&gt;0),P8*_xlpm.v_q-_xlpm.v_s0,0),SUM(--(_xlpm.v_g&gt;0))))</f>
        <v/>
      </c>
    </row>
    <row r="17">
      <c r="O17" s="8" t="inlineStr">
        <is>
          <t>Largest gap</t>
        </is>
      </c>
      <c r="P17" s="8" cm="1">
        <f t="array" ref="P17">IF(P15=0,"",_xlfn.LET(_xlpm.v_f,tblAssemblies[Contract]=$C$3,_xlpm.v_c,_xlfn._xlws.FILTER(tblAssemblies[Assembly code],_xlpm.v_f),_xlpm.v_q,_xlfn._xlws.FILTER(tblAssemblies[Qty per repeater],_xlpm.v_f),_xlpm.v_s,_xlfn._xlws.FILTER(tblAssemblies[Cumulative supplied to date],_xlpm.v_f),_xlpm.v_s0,IF(ISNUMBER(_xlpm.v_s),_xlpm.v_s,0),_xlpm.v_g,IF(ISNUMBER(_xlpm.v_q)*(_xlpm.v_q&gt;0),P8*_xlpm.v_q-_xlpm.v_s0,0),_xlpm.v_m,MAX(_xlpm.v_g),INDEX(_xlpm.v_c,MATCH(_xlpm.v_m,_xlpm.v_g,0))&amp;" (+"&amp;_xlpm.v_m&amp;")"))</f>
        <v/>
      </c>
    </row>
    <row r="18" ht="26" customHeight="1">
      <c r="B18" s="27" t="inlineStr">
        <is>
          <t>TARGET</t>
        </is>
      </c>
      <c r="C18" s="28" t="inlineStr">
        <is>
          <t>Target complete repeater kits (type a number, or leave blank to use kits due by this week + next 4 weeks) ▸</t>
        </is>
      </c>
      <c r="K18" s="29" t="n"/>
      <c r="L18" s="30">
        <f>"In use: "&amp;P8&amp;IF(ISNUMBER($K$18)," (entered)"," (from plan)")</f>
        <v/>
      </c>
      <c r="O18" s="8" t="inlineStr">
        <is>
          <t>Age of oldest update (days)</t>
        </is>
      </c>
      <c r="P18" s="31">
        <f>IF(P13="","",TODAY()-P13)</f>
        <v/>
      </c>
    </row>
    <row r="19">
      <c r="B19" s="32" t="inlineStr">
        <is>
          <t>REQUIRED ASSEMBLIES (actual cumulative supplied totals)</t>
        </is>
      </c>
      <c r="H19" s="33" t="inlineStr">
        <is>
          <t>Needed / Additional use the target above</t>
        </is>
      </c>
      <c r="O19" s="8" t="inlineStr">
        <is>
          <t>Next kit-release week (Monday)</t>
        </is>
      </c>
      <c r="P19" s="8">
        <f>IFERROR(1/(1/_xlfn.MINIFS(tblPlan[Final build week (Monday)],tblPlan[Contract],$C$3,tblPlan[Final build week (Monday)],"&gt;="&amp;(ThisWeek+7*(P3+1)))),"")</f>
        <v/>
      </c>
    </row>
    <row r="20" ht="30" customHeight="1">
      <c r="B20" s="34" t="inlineStr">
        <is>
          <t>Assembly group</t>
        </is>
      </c>
      <c r="C20" s="34" t="inlineStr">
        <is>
          <t>Assembly code</t>
        </is>
      </c>
      <c r="D20" s="34" t="inlineStr">
        <is>
          <t>Description</t>
        </is>
      </c>
      <c r="E20" s="34" t="inlineStr">
        <is>
          <t>Qty per repeater</t>
        </is>
      </c>
      <c r="F20" s="34" t="inlineStr">
        <is>
          <t>Supplied to date</t>
        </is>
      </c>
      <c r="G20" s="34" t="inlineStr">
        <is>
          <t>Complete sets</t>
        </is>
      </c>
      <c r="H20" s="34" t="inlineStr">
        <is>
          <t>Toward next set</t>
        </is>
      </c>
      <c r="I20" s="34" t="inlineStr">
        <is>
          <t>Needed for target</t>
        </is>
      </c>
      <c r="J20" s="34" t="inlineStr">
        <is>
          <t>Additional needed</t>
        </is>
      </c>
      <c r="K20" s="34" t="inlineStr">
        <is>
          <t>Updated on</t>
        </is>
      </c>
      <c r="L20" s="34" t="inlineStr">
        <is>
          <t>Check</t>
        </is>
      </c>
      <c r="O20" s="8" t="inlineStr">
        <is>
          <t>Repeaters in that week</t>
        </is>
      </c>
      <c r="P20" s="8">
        <f>IF(P19="","",SUMIFS(tblPlan[Repeaters planned],tblPlan[Contract],$C$3,tblPlan[Final build week (Monday)],"&gt;="&amp;P19,tblPlan[Final build week (Monday)],"&lt;"&amp;(P19+7)))</f>
        <v/>
      </c>
    </row>
    <row r="21">
      <c r="B21" s="24" cm="1">
        <f t="array" ref="B21">IF(P9=0,"Assembly setup required",_xlfn.LET(_xlpm.v_f,tblAssemblies[Contract]=$C$3,_xlpm.v_g,_xlfn._xlws.FILTER(tblAssemblies[Assembly group],_xlpm.v_f),_xlpm.v_c,_xlfn._xlws.FILTER(tblAssemblies[Assembly code],_xlpm.v_f),_xlpm.v_d,_xlfn._xlws.FILTER(tblAssemblies[Description],_xlpm.v_f),_xlpm.v_q,_xlfn._xlws.FILTER(tblAssemblies[Qty per repeater],_xlpm.v_f),_xlpm.v_s,_xlfn._xlws.FILTER(tblAssemblies[Cumulative supplied to date],_xlpm.v_f),_xlpm.v_u,_xlfn._xlws.FILTER(tblAssemblies[Updated on],_xlpm.v_f),_xlpm.v_k,_xlfn._xlws.FILTER(tblAssemblies[Check (calc)],_xlpm.v_f),_xlpm.v_ok,ISNUMBER(_xlpm.v_q)*(_xlpm.v_q&gt;0),_xlpm.v_s0,IF(ISNUMBER(_xlpm.v_s),_xlpm.v_s,0),_xlpm.v_sets,IF(_xlpm.v_ok,INT(_xlpm.v_s0/_xlpm.v_q),"check qty"),_xlpm.v_tn,IF(_xlpm.v_ok,MOD(_xlpm.v_s0,_xlpm.v_q)&amp;" of "&amp;_xlpm.v_q,""),_xlpm.v_need,IF(_xlpm.v_ok,P8*_xlpm.v_q,""),_xlpm.v_add,IF(_xlpm.v_ok,IF(P8*_xlpm.v_q-_xlpm.v_s0&gt;0,P8*_xlpm.v_q-_xlpm.v_s0,0),""),_xlfn.HSTACK(_xlpm.v_g,_xlpm.v_c,_xlpm.v_d,IF(ISNUMBER(_xlpm.v_q),_xlpm.v_q,"missing"),IF(ISNUMBER(_xlpm.v_s),_xlpm.v_s,"missing"),_xlpm.v_sets,_xlpm.v_tn,_xlpm.v_need,_xlpm.v_add,IF(ISNUMBER(_xlpm.v_u),_xlpm.v_u,"not set"),_xlpm.v_k)))</f>
        <v/>
      </c>
      <c r="C21" s="24" t="n"/>
      <c r="D21" s="24" t="n"/>
      <c r="E21" s="35" t="n"/>
      <c r="F21" s="36" t="n"/>
      <c r="G21" s="35" t="n"/>
      <c r="H21" s="37" t="n"/>
      <c r="I21" s="36" t="n"/>
      <c r="J21" s="36" t="n"/>
      <c r="K21" s="38" t="n"/>
      <c r="L21" s="24" t="n"/>
    </row>
    <row r="22">
      <c r="B22" s="24" t="n"/>
      <c r="C22" s="24" t="n"/>
      <c r="D22" s="24" t="n"/>
      <c r="E22" s="35" t="n"/>
      <c r="F22" s="36" t="n"/>
      <c r="G22" s="35" t="n"/>
      <c r="H22" s="37" t="n"/>
      <c r="I22" s="36" t="n"/>
      <c r="J22" s="36" t="n"/>
      <c r="K22" s="38" t="n"/>
      <c r="L22" s="24" t="n"/>
    </row>
    <row r="23">
      <c r="B23" s="24" t="n"/>
      <c r="C23" s="24" t="n"/>
      <c r="D23" s="24" t="n"/>
      <c r="E23" s="35" t="n"/>
      <c r="F23" s="36" t="n"/>
      <c r="G23" s="35" t="n"/>
      <c r="H23" s="37" t="n"/>
      <c r="I23" s="36" t="n"/>
      <c r="J23" s="36" t="n"/>
      <c r="K23" s="38" t="n"/>
      <c r="L23" s="24" t="n"/>
    </row>
    <row r="24">
      <c r="B24" s="24" t="n"/>
      <c r="C24" s="24" t="n"/>
      <c r="D24" s="24" t="n"/>
      <c r="E24" s="35" t="n"/>
      <c r="F24" s="36" t="n"/>
      <c r="G24" s="35" t="n"/>
      <c r="H24" s="37" t="n"/>
      <c r="I24" s="36" t="n"/>
      <c r="J24" s="36" t="n"/>
      <c r="K24" s="38" t="n"/>
      <c r="L24" s="24" t="n"/>
    </row>
    <row r="25">
      <c r="B25" s="24" t="n"/>
      <c r="C25" s="24" t="n"/>
      <c r="D25" s="24" t="n"/>
      <c r="E25" s="35" t="n"/>
      <c r="F25" s="36" t="n"/>
      <c r="G25" s="35" t="n"/>
      <c r="H25" s="37" t="n"/>
      <c r="I25" s="36" t="n"/>
      <c r="J25" s="36" t="n"/>
      <c r="K25" s="38" t="n"/>
      <c r="L25" s="24" t="n"/>
    </row>
    <row r="26">
      <c r="B26" s="24" t="n"/>
      <c r="C26" s="24" t="n"/>
      <c r="D26" s="24" t="n"/>
      <c r="E26" s="35" t="n"/>
      <c r="F26" s="36" t="n"/>
      <c r="G26" s="35" t="n"/>
      <c r="H26" s="37" t="n"/>
      <c r="I26" s="36" t="n"/>
      <c r="J26" s="36" t="n"/>
      <c r="K26" s="38" t="n"/>
      <c r="L26" s="24" t="n"/>
    </row>
    <row r="27">
      <c r="B27" s="24" t="n"/>
      <c r="C27" s="24" t="n"/>
      <c r="D27" s="24" t="n"/>
      <c r="E27" s="35" t="n"/>
      <c r="F27" s="36" t="n"/>
      <c r="G27" s="35" t="n"/>
      <c r="H27" s="37" t="n"/>
      <c r="I27" s="36" t="n"/>
      <c r="J27" s="36" t="n"/>
      <c r="K27" s="38" t="n"/>
      <c r="L27" s="24" t="n"/>
    </row>
    <row r="28">
      <c r="B28" s="24" t="n"/>
      <c r="C28" s="24" t="n"/>
      <c r="D28" s="24" t="n"/>
      <c r="E28" s="35" t="n"/>
      <c r="F28" s="36" t="n"/>
      <c r="G28" s="35" t="n"/>
      <c r="H28" s="37" t="n"/>
      <c r="I28" s="36" t="n"/>
      <c r="J28" s="36" t="n"/>
      <c r="K28" s="38" t="n"/>
      <c r="L28" s="24" t="n"/>
    </row>
    <row r="29">
      <c r="B29" s="24" t="n"/>
      <c r="C29" s="24" t="n"/>
      <c r="D29" s="24" t="n"/>
      <c r="E29" s="35" t="n"/>
      <c r="F29" s="36" t="n"/>
      <c r="G29" s="35" t="n"/>
      <c r="H29" s="37" t="n"/>
      <c r="I29" s="36" t="n"/>
      <c r="J29" s="36" t="n"/>
      <c r="K29" s="38" t="n"/>
      <c r="L29" s="24" t="n"/>
    </row>
    <row r="30">
      <c r="B30" s="24" t="n"/>
      <c r="C30" s="24" t="n"/>
      <c r="D30" s="24" t="n"/>
      <c r="E30" s="35" t="n"/>
      <c r="F30" s="36" t="n"/>
      <c r="G30" s="35" t="n"/>
      <c r="H30" s="37" t="n"/>
      <c r="I30" s="36" t="n"/>
      <c r="J30" s="36" t="n"/>
      <c r="K30" s="38" t="n"/>
      <c r="L30" s="24" t="n"/>
    </row>
    <row r="31">
      <c r="B31" s="24" t="n"/>
      <c r="C31" s="24" t="n"/>
      <c r="D31" s="24" t="n"/>
      <c r="E31" s="35" t="n"/>
      <c r="F31" s="36" t="n"/>
      <c r="G31" s="35" t="n"/>
      <c r="H31" s="37" t="n"/>
      <c r="I31" s="36" t="n"/>
      <c r="J31" s="36" t="n"/>
      <c r="K31" s="38" t="n"/>
      <c r="L31" s="24" t="n"/>
    </row>
    <row r="32">
      <c r="B32" s="24" t="n"/>
      <c r="C32" s="24" t="n"/>
      <c r="D32" s="24" t="n"/>
      <c r="E32" s="35" t="n"/>
      <c r="F32" s="36" t="n"/>
      <c r="G32" s="35" t="n"/>
      <c r="H32" s="37" t="n"/>
      <c r="I32" s="36" t="n"/>
      <c r="J32" s="36" t="n"/>
      <c r="K32" s="38" t="n"/>
      <c r="L32" s="24" t="n"/>
    </row>
    <row r="33">
      <c r="B33" s="24" t="n"/>
      <c r="C33" s="24" t="n"/>
      <c r="D33" s="24" t="n"/>
      <c r="E33" s="35" t="n"/>
      <c r="F33" s="36" t="n"/>
      <c r="G33" s="35" t="n"/>
      <c r="H33" s="37" t="n"/>
      <c r="I33" s="36" t="n"/>
      <c r="J33" s="36" t="n"/>
      <c r="K33" s="38" t="n"/>
      <c r="L33" s="24" t="n"/>
    </row>
    <row r="34">
      <c r="B34" s="24" t="n"/>
      <c r="C34" s="24" t="n"/>
      <c r="D34" s="24" t="n"/>
      <c r="E34" s="35" t="n"/>
      <c r="F34" s="36" t="n"/>
      <c r="G34" s="35" t="n"/>
      <c r="H34" s="37" t="n"/>
      <c r="I34" s="36" t="n"/>
      <c r="J34" s="36" t="n"/>
      <c r="K34" s="38" t="n"/>
      <c r="L34" s="24" t="n"/>
    </row>
    <row r="35">
      <c r="B35" s="24" t="n"/>
      <c r="C35" s="24" t="n"/>
      <c r="D35" s="24" t="n"/>
      <c r="E35" s="35" t="n"/>
      <c r="F35" s="36" t="n"/>
      <c r="G35" s="35" t="n"/>
      <c r="H35" s="37" t="n"/>
      <c r="I35" s="36" t="n"/>
      <c r="J35" s="36" t="n"/>
      <c r="K35" s="38" t="n"/>
      <c r="L35" s="24" t="n"/>
    </row>
    <row r="36">
      <c r="B36" s="24" t="n"/>
      <c r="C36" s="24" t="n"/>
      <c r="D36" s="24" t="n"/>
      <c r="E36" s="35" t="n"/>
      <c r="F36" s="36" t="n"/>
      <c r="G36" s="35" t="n"/>
      <c r="H36" s="37" t="n"/>
      <c r="I36" s="36" t="n"/>
      <c r="J36" s="36" t="n"/>
      <c r="K36" s="38" t="n"/>
      <c r="L36" s="24" t="n"/>
    </row>
    <row r="37">
      <c r="B37" s="24" t="n"/>
      <c r="C37" s="24" t="n"/>
      <c r="D37" s="24" t="n"/>
      <c r="E37" s="35" t="n"/>
      <c r="F37" s="36" t="n"/>
      <c r="G37" s="35" t="n"/>
      <c r="H37" s="37" t="n"/>
      <c r="I37" s="36" t="n"/>
      <c r="J37" s="36" t="n"/>
      <c r="K37" s="38" t="n"/>
      <c r="L37" s="24" t="n"/>
    </row>
    <row r="38">
      <c r="B38" s="24" t="n"/>
      <c r="C38" s="24" t="n"/>
      <c r="D38" s="24" t="n"/>
      <c r="E38" s="35" t="n"/>
      <c r="F38" s="36" t="n"/>
      <c r="G38" s="35" t="n"/>
      <c r="H38" s="37" t="n"/>
      <c r="I38" s="36" t="n"/>
      <c r="J38" s="36" t="n"/>
      <c r="K38" s="38" t="n"/>
      <c r="L38" s="24" t="n"/>
    </row>
    <row r="39">
      <c r="B39" s="24" t="n"/>
      <c r="C39" s="24" t="n"/>
      <c r="D39" s="24" t="n"/>
      <c r="E39" s="35" t="n"/>
      <c r="F39" s="36" t="n"/>
      <c r="G39" s="35" t="n"/>
      <c r="H39" s="37" t="n"/>
      <c r="I39" s="36" t="n"/>
      <c r="J39" s="36" t="n"/>
      <c r="K39" s="38" t="n"/>
      <c r="L39" s="24" t="n"/>
    </row>
    <row r="40">
      <c r="B40" s="24" t="n"/>
      <c r="C40" s="24" t="n"/>
      <c r="D40" s="24" t="n"/>
      <c r="E40" s="35" t="n"/>
      <c r="F40" s="36" t="n"/>
      <c r="G40" s="35" t="n"/>
      <c r="H40" s="37" t="n"/>
      <c r="I40" s="36" t="n"/>
      <c r="J40" s="36" t="n"/>
      <c r="K40" s="38" t="n"/>
      <c r="L40" s="24" t="n"/>
    </row>
    <row r="41">
      <c r="B41" s="24" t="n"/>
      <c r="C41" s="24" t="n"/>
      <c r="D41" s="24" t="n"/>
      <c r="E41" s="35" t="n"/>
      <c r="F41" s="36" t="n"/>
      <c r="G41" s="35" t="n"/>
      <c r="H41" s="37" t="n"/>
      <c r="I41" s="36" t="n"/>
      <c r="J41" s="36" t="n"/>
      <c r="K41" s="38" t="n"/>
      <c r="L41" s="24" t="n"/>
    </row>
    <row r="42">
      <c r="B42" s="24" t="n"/>
      <c r="C42" s="24" t="n"/>
      <c r="D42" s="24" t="n"/>
      <c r="E42" s="35" t="n"/>
      <c r="F42" s="36" t="n"/>
      <c r="G42" s="35" t="n"/>
      <c r="H42" s="37" t="n"/>
      <c r="I42" s="36" t="n"/>
      <c r="J42" s="36" t="n"/>
      <c r="K42" s="38" t="n"/>
      <c r="L42" s="24" t="n"/>
    </row>
    <row r="43">
      <c r="B43" s="24" t="n"/>
      <c r="C43" s="24" t="n"/>
      <c r="D43" s="24" t="n"/>
      <c r="E43" s="35" t="n"/>
      <c r="F43" s="36" t="n"/>
      <c r="G43" s="35" t="n"/>
      <c r="H43" s="37" t="n"/>
      <c r="I43" s="36" t="n"/>
      <c r="J43" s="36" t="n"/>
      <c r="K43" s="38" t="n"/>
      <c r="L43" s="24" t="n"/>
    </row>
    <row r="44">
      <c r="B44" s="24" t="n"/>
      <c r="C44" s="24" t="n"/>
      <c r="D44" s="24" t="n"/>
      <c r="E44" s="35" t="n"/>
      <c r="F44" s="36" t="n"/>
      <c r="G44" s="35" t="n"/>
      <c r="H44" s="37" t="n"/>
      <c r="I44" s="36" t="n"/>
      <c r="J44" s="36" t="n"/>
      <c r="K44" s="38" t="n"/>
      <c r="L44" s="24" t="n"/>
    </row>
    <row r="45">
      <c r="B45" s="24" t="n"/>
      <c r="C45" s="24" t="n"/>
      <c r="D45" s="24" t="n"/>
      <c r="E45" s="35" t="n"/>
      <c r="F45" s="36" t="n"/>
      <c r="G45" s="35" t="n"/>
      <c r="H45" s="37" t="n"/>
      <c r="I45" s="36" t="n"/>
      <c r="J45" s="36" t="n"/>
      <c r="K45" s="38" t="n"/>
      <c r="L45" s="24" t="n"/>
    </row>
    <row r="46">
      <c r="B46" s="24" t="n"/>
      <c r="C46" s="24" t="n"/>
      <c r="D46" s="24" t="n"/>
      <c r="E46" s="35" t="n"/>
      <c r="F46" s="36" t="n"/>
      <c r="G46" s="35" t="n"/>
      <c r="H46" s="37" t="n"/>
      <c r="I46" s="36" t="n"/>
      <c r="J46" s="36" t="n"/>
      <c r="K46" s="38" t="n"/>
      <c r="L46" s="24" t="n"/>
    </row>
    <row r="47">
      <c r="B47" s="24" t="n"/>
      <c r="C47" s="24" t="n"/>
      <c r="D47" s="24" t="n"/>
      <c r="E47" s="35" t="n"/>
      <c r="F47" s="36" t="n"/>
      <c r="G47" s="35" t="n"/>
      <c r="H47" s="37" t="n"/>
      <c r="I47" s="36" t="n"/>
      <c r="J47" s="36" t="n"/>
      <c r="K47" s="38" t="n"/>
      <c r="L47" s="24" t="n"/>
    </row>
    <row r="48">
      <c r="B48" s="24" t="n"/>
      <c r="C48" s="24" t="n"/>
      <c r="D48" s="24" t="n"/>
      <c r="E48" s="35" t="n"/>
      <c r="F48" s="36" t="n"/>
      <c r="G48" s="35" t="n"/>
      <c r="H48" s="37" t="n"/>
      <c r="I48" s="36" t="n"/>
      <c r="J48" s="36" t="n"/>
      <c r="K48" s="38" t="n"/>
      <c r="L48" s="24" t="n"/>
    </row>
    <row r="49">
      <c r="B49" s="24" t="n"/>
      <c r="C49" s="24" t="n"/>
      <c r="D49" s="24" t="n"/>
      <c r="E49" s="35" t="n"/>
      <c r="F49" s="36" t="n"/>
      <c r="G49" s="35" t="n"/>
      <c r="H49" s="37" t="n"/>
      <c r="I49" s="36" t="n"/>
      <c r="J49" s="36" t="n"/>
      <c r="K49" s="38" t="n"/>
      <c r="L49" s="24" t="n"/>
    </row>
    <row r="50">
      <c r="B50" s="24" t="n"/>
      <c r="C50" s="24" t="n"/>
      <c r="D50" s="24" t="n"/>
      <c r="E50" s="35" t="n"/>
      <c r="F50" s="36" t="n"/>
      <c r="G50" s="35" t="n"/>
      <c r="H50" s="37" t="n"/>
      <c r="I50" s="36" t="n"/>
      <c r="J50" s="36" t="n"/>
      <c r="K50" s="38" t="n"/>
      <c r="L50" s="24" t="n"/>
    </row>
    <row r="51">
      <c r="B51" s="24" t="n"/>
      <c r="C51" s="24" t="n"/>
      <c r="D51" s="24" t="n"/>
      <c r="E51" s="35" t="n"/>
      <c r="F51" s="36" t="n"/>
      <c r="G51" s="35" t="n"/>
      <c r="H51" s="37" t="n"/>
      <c r="I51" s="36" t="n"/>
      <c r="J51" s="36" t="n"/>
      <c r="K51" s="38" t="n"/>
      <c r="L51" s="24" t="n"/>
    </row>
    <row r="52">
      <c r="B52" s="24" t="n"/>
      <c r="C52" s="24" t="n"/>
      <c r="D52" s="24" t="n"/>
      <c r="E52" s="35" t="n"/>
      <c r="F52" s="36" t="n"/>
      <c r="G52" s="35" t="n"/>
      <c r="H52" s="37" t="n"/>
      <c r="I52" s="36" t="n"/>
      <c r="J52" s="36" t="n"/>
      <c r="K52" s="38" t="n"/>
      <c r="L52" s="24" t="n"/>
    </row>
    <row r="53">
      <c r="B53" s="24" t="n"/>
      <c r="C53" s="24" t="n"/>
      <c r="D53" s="24" t="n"/>
      <c r="E53" s="35" t="n"/>
      <c r="F53" s="36" t="n"/>
      <c r="G53" s="35" t="n"/>
      <c r="H53" s="37" t="n"/>
      <c r="I53" s="36" t="n"/>
      <c r="J53" s="36" t="n"/>
      <c r="K53" s="38" t="n"/>
      <c r="L53" s="24" t="n"/>
    </row>
    <row r="54">
      <c r="B54" s="24" t="n"/>
      <c r="C54" s="24" t="n"/>
      <c r="D54" s="24" t="n"/>
      <c r="E54" s="35" t="n"/>
      <c r="F54" s="36" t="n"/>
      <c r="G54" s="35" t="n"/>
      <c r="H54" s="37" t="n"/>
      <c r="I54" s="36" t="n"/>
      <c r="J54" s="36" t="n"/>
      <c r="K54" s="38" t="n"/>
      <c r="L54" s="24" t="n"/>
    </row>
    <row r="55">
      <c r="B55" s="24" t="n"/>
      <c r="C55" s="24" t="n"/>
      <c r="D55" s="24" t="n"/>
      <c r="E55" s="35" t="n"/>
      <c r="F55" s="36" t="n"/>
      <c r="G55" s="35" t="n"/>
      <c r="H55" s="37" t="n"/>
      <c r="I55" s="36" t="n"/>
      <c r="J55" s="36" t="n"/>
      <c r="K55" s="38" t="n"/>
      <c r="L55" s="24" t="n"/>
    </row>
    <row r="56">
      <c r="B56" s="24" t="n"/>
      <c r="C56" s="24" t="n"/>
      <c r="D56" s="24" t="n"/>
      <c r="E56" s="35" t="n"/>
      <c r="F56" s="36" t="n"/>
      <c r="G56" s="35" t="n"/>
      <c r="H56" s="37" t="n"/>
      <c r="I56" s="36" t="n"/>
      <c r="J56" s="36" t="n"/>
      <c r="K56" s="38" t="n"/>
      <c r="L56" s="24" t="n"/>
    </row>
    <row r="57">
      <c r="B57" s="24" t="n"/>
      <c r="C57" s="24" t="n"/>
      <c r="D57" s="24" t="n"/>
      <c r="E57" s="35" t="n"/>
      <c r="F57" s="36" t="n"/>
      <c r="G57" s="35" t="n"/>
      <c r="H57" s="37" t="n"/>
      <c r="I57" s="36" t="n"/>
      <c r="J57" s="36" t="n"/>
      <c r="K57" s="38" t="n"/>
      <c r="L57" s="24" t="n"/>
    </row>
    <row r="58">
      <c r="B58" s="24" t="n"/>
      <c r="C58" s="24" t="n"/>
      <c r="D58" s="24" t="n"/>
      <c r="E58" s="35" t="n"/>
      <c r="F58" s="36" t="n"/>
      <c r="G58" s="35" t="n"/>
      <c r="H58" s="37" t="n"/>
      <c r="I58" s="36" t="n"/>
      <c r="J58" s="36" t="n"/>
      <c r="K58" s="38" t="n"/>
      <c r="L58" s="24" t="n"/>
    </row>
    <row r="59">
      <c r="B59" s="24" t="n"/>
      <c r="C59" s="24" t="n"/>
      <c r="D59" s="24" t="n"/>
      <c r="E59" s="35" t="n"/>
      <c r="F59" s="36" t="n"/>
      <c r="G59" s="35" t="n"/>
      <c r="H59" s="37" t="n"/>
      <c r="I59" s="36" t="n"/>
      <c r="J59" s="36" t="n"/>
      <c r="K59" s="38" t="n"/>
      <c r="L59" s="24" t="n"/>
    </row>
    <row r="60">
      <c r="B60" s="24" t="n"/>
      <c r="C60" s="24" t="n"/>
      <c r="D60" s="24" t="n"/>
      <c r="E60" s="35" t="n"/>
      <c r="F60" s="36" t="n"/>
      <c r="G60" s="35" t="n"/>
      <c r="H60" s="37" t="n"/>
      <c r="I60" s="36" t="n"/>
      <c r="J60" s="36" t="n"/>
      <c r="K60" s="38" t="n"/>
      <c r="L60" s="24" t="n"/>
    </row>
    <row r="61">
      <c r="B61" s="24" t="n"/>
      <c r="C61" s="24" t="n"/>
      <c r="D61" s="24" t="n"/>
      <c r="E61" s="35" t="n"/>
      <c r="F61" s="36" t="n"/>
      <c r="G61" s="35" t="n"/>
      <c r="H61" s="37" t="n"/>
      <c r="I61" s="36" t="n"/>
      <c r="J61" s="36" t="n"/>
      <c r="K61" s="38" t="n"/>
      <c r="L61" s="24" t="n"/>
    </row>
    <row r="62">
      <c r="B62" s="24" t="n"/>
      <c r="C62" s="24" t="n"/>
      <c r="D62" s="24" t="n"/>
      <c r="E62" s="35" t="n"/>
      <c r="F62" s="36" t="n"/>
      <c r="G62" s="35" t="n"/>
      <c r="H62" s="37" t="n"/>
      <c r="I62" s="36" t="n"/>
      <c r="J62" s="36" t="n"/>
      <c r="K62" s="38" t="n"/>
      <c r="L62" s="24" t="n"/>
    </row>
    <row r="63">
      <c r="B63" s="24" t="n"/>
      <c r="C63" s="24" t="n"/>
      <c r="D63" s="24" t="n"/>
      <c r="E63" s="35" t="n"/>
      <c r="F63" s="36" t="n"/>
      <c r="G63" s="35" t="n"/>
      <c r="H63" s="37" t="n"/>
      <c r="I63" s="36" t="n"/>
      <c r="J63" s="36" t="n"/>
      <c r="K63" s="38" t="n"/>
      <c r="L63" s="24" t="n"/>
    </row>
    <row r="64">
      <c r="B64" s="24" t="n"/>
      <c r="C64" s="24" t="n"/>
      <c r="D64" s="24" t="n"/>
      <c r="E64" s="35" t="n"/>
      <c r="F64" s="36" t="n"/>
      <c r="G64" s="35" t="n"/>
      <c r="H64" s="37" t="n"/>
      <c r="I64" s="36" t="n"/>
      <c r="J64" s="36" t="n"/>
      <c r="K64" s="38" t="n"/>
      <c r="L64" s="24" t="n"/>
    </row>
    <row r="65">
      <c r="B65" s="24" t="n"/>
      <c r="C65" s="24" t="n"/>
      <c r="D65" s="24" t="n"/>
      <c r="E65" s="35" t="n"/>
      <c r="F65" s="36" t="n"/>
      <c r="G65" s="35" t="n"/>
      <c r="H65" s="37" t="n"/>
      <c r="I65" s="36" t="n"/>
      <c r="J65" s="36" t="n"/>
      <c r="K65" s="38" t="n"/>
      <c r="L65" s="24" t="n"/>
    </row>
    <row r="66">
      <c r="B66" s="24" t="n"/>
      <c r="C66" s="24" t="n"/>
      <c r="D66" s="24" t="n"/>
      <c r="E66" s="35" t="n"/>
      <c r="F66" s="36" t="n"/>
      <c r="G66" s="35" t="n"/>
      <c r="H66" s="37" t="n"/>
      <c r="I66" s="36" t="n"/>
      <c r="J66" s="36" t="n"/>
      <c r="K66" s="38" t="n"/>
      <c r="L66" s="24" t="n"/>
    </row>
    <row r="67">
      <c r="B67" s="24" t="n"/>
      <c r="C67" s="24" t="n"/>
      <c r="D67" s="24" t="n"/>
      <c r="E67" s="35" t="n"/>
      <c r="F67" s="36" t="n"/>
      <c r="G67" s="35" t="n"/>
      <c r="H67" s="37" t="n"/>
      <c r="I67" s="36" t="n"/>
      <c r="J67" s="36" t="n"/>
      <c r="K67" s="38" t="n"/>
      <c r="L67" s="24" t="n"/>
    </row>
    <row r="68">
      <c r="B68" s="24" t="n"/>
      <c r="C68" s="24" t="n"/>
      <c r="D68" s="24" t="n"/>
      <c r="E68" s="35" t="n"/>
      <c r="F68" s="36" t="n"/>
      <c r="G68" s="35" t="n"/>
      <c r="H68" s="37" t="n"/>
      <c r="I68" s="36" t="n"/>
      <c r="J68" s="36" t="n"/>
      <c r="K68" s="38" t="n"/>
      <c r="L68" s="24" t="n"/>
    </row>
    <row r="69">
      <c r="B69" s="24" t="n"/>
      <c r="C69" s="24" t="n"/>
      <c r="D69" s="24" t="n"/>
      <c r="E69" s="35" t="n"/>
      <c r="F69" s="36" t="n"/>
      <c r="G69" s="35" t="n"/>
      <c r="H69" s="37" t="n"/>
      <c r="I69" s="36" t="n"/>
      <c r="J69" s="36" t="n"/>
      <c r="K69" s="38" t="n"/>
      <c r="L69" s="24" t="n"/>
    </row>
    <row r="70">
      <c r="B70" s="24" t="n"/>
      <c r="C70" s="24" t="n"/>
      <c r="D70" s="24" t="n"/>
      <c r="E70" s="35" t="n"/>
      <c r="F70" s="36" t="n"/>
      <c r="G70" s="35" t="n"/>
      <c r="H70" s="37" t="n"/>
      <c r="I70" s="36" t="n"/>
      <c r="J70" s="36" t="n"/>
      <c r="K70" s="38" t="n"/>
      <c r="L70" s="24" t="n"/>
    </row>
    <row r="71">
      <c r="B71" s="24" t="n"/>
      <c r="C71" s="24" t="n"/>
      <c r="D71" s="24" t="n"/>
      <c r="E71" s="35" t="n"/>
      <c r="F71" s="36" t="n"/>
      <c r="G71" s="35" t="n"/>
      <c r="H71" s="37" t="n"/>
      <c r="I71" s="36" t="n"/>
      <c r="J71" s="36" t="n"/>
      <c r="K71" s="38" t="n"/>
      <c r="L71" s="24" t="n"/>
    </row>
    <row r="72">
      <c r="B72" s="24" t="n"/>
      <c r="C72" s="24" t="n"/>
      <c r="D72" s="24" t="n"/>
      <c r="E72" s="35" t="n"/>
      <c r="F72" s="36" t="n"/>
      <c r="G72" s="35" t="n"/>
      <c r="H72" s="37" t="n"/>
      <c r="I72" s="36" t="n"/>
      <c r="J72" s="36" t="n"/>
      <c r="K72" s="38" t="n"/>
      <c r="L72" s="24" t="n"/>
    </row>
    <row r="73">
      <c r="B73" s="24" t="n"/>
      <c r="C73" s="24" t="n"/>
      <c r="D73" s="24" t="n"/>
      <c r="E73" s="35" t="n"/>
      <c r="F73" s="36" t="n"/>
      <c r="G73" s="35" t="n"/>
      <c r="H73" s="37" t="n"/>
      <c r="I73" s="36" t="n"/>
      <c r="J73" s="36" t="n"/>
      <c r="K73" s="38" t="n"/>
      <c r="L73" s="24" t="n"/>
    </row>
    <row r="74">
      <c r="B74" s="24" t="n"/>
      <c r="C74" s="24" t="n"/>
      <c r="D74" s="24" t="n"/>
      <c r="E74" s="35" t="n"/>
      <c r="F74" s="36" t="n"/>
      <c r="G74" s="35" t="n"/>
      <c r="H74" s="37" t="n"/>
      <c r="I74" s="36" t="n"/>
      <c r="J74" s="36" t="n"/>
      <c r="K74" s="38" t="n"/>
      <c r="L74" s="24" t="n"/>
    </row>
    <row r="75">
      <c r="B75" s="24" t="n"/>
      <c r="C75" s="24" t="n"/>
      <c r="D75" s="24" t="n"/>
      <c r="E75" s="35" t="n"/>
      <c r="F75" s="36" t="n"/>
      <c r="G75" s="35" t="n"/>
      <c r="H75" s="37" t="n"/>
      <c r="I75" s="36" t="n"/>
      <c r="J75" s="36" t="n"/>
      <c r="K75" s="38" t="n"/>
      <c r="L75" s="24" t="n"/>
    </row>
    <row r="76">
      <c r="B76" s="24" t="n"/>
      <c r="C76" s="24" t="n"/>
      <c r="D76" s="24" t="n"/>
      <c r="E76" s="35" t="n"/>
      <c r="F76" s="36" t="n"/>
      <c r="G76" s="35" t="n"/>
      <c r="H76" s="37" t="n"/>
      <c r="I76" s="36" t="n"/>
      <c r="J76" s="36" t="n"/>
      <c r="K76" s="38" t="n"/>
      <c r="L76" s="24" t="n"/>
    </row>
    <row r="77">
      <c r="B77" s="24" t="n"/>
      <c r="C77" s="24" t="n"/>
      <c r="D77" s="24" t="n"/>
      <c r="E77" s="35" t="n"/>
      <c r="F77" s="36" t="n"/>
      <c r="G77" s="35" t="n"/>
      <c r="H77" s="37" t="n"/>
      <c r="I77" s="36" t="n"/>
      <c r="J77" s="36" t="n"/>
      <c r="K77" s="38" t="n"/>
      <c r="L77" s="24" t="n"/>
    </row>
    <row r="78">
      <c r="B78" s="24" t="n"/>
      <c r="C78" s="24" t="n"/>
      <c r="D78" s="24" t="n"/>
      <c r="E78" s="35" t="n"/>
      <c r="F78" s="36" t="n"/>
      <c r="G78" s="35" t="n"/>
      <c r="H78" s="37" t="n"/>
      <c r="I78" s="36" t="n"/>
      <c r="J78" s="36" t="n"/>
      <c r="K78" s="38" t="n"/>
      <c r="L78" s="24" t="n"/>
    </row>
    <row r="79">
      <c r="B79" s="24" t="n"/>
      <c r="C79" s="24" t="n"/>
      <c r="D79" s="24" t="n"/>
      <c r="E79" s="35" t="n"/>
      <c r="F79" s="36" t="n"/>
      <c r="G79" s="35" t="n"/>
      <c r="H79" s="37" t="n"/>
      <c r="I79" s="36" t="n"/>
      <c r="J79" s="36" t="n"/>
      <c r="K79" s="38" t="n"/>
      <c r="L79" s="24" t="n"/>
    </row>
    <row r="80">
      <c r="B80" s="24" t="n"/>
      <c r="C80" s="24" t="n"/>
      <c r="D80" s="24" t="n"/>
      <c r="E80" s="35" t="n"/>
      <c r="F80" s="36" t="n"/>
      <c r="G80" s="35" t="n"/>
      <c r="H80" s="37" t="n"/>
      <c r="I80" s="36" t="n"/>
      <c r="J80" s="36" t="n"/>
      <c r="K80" s="38" t="n"/>
      <c r="L80" s="24" t="n"/>
    </row>
    <row r="81">
      <c r="B81" s="24" t="n"/>
      <c r="C81" s="24" t="n"/>
      <c r="D81" s="24" t="n"/>
      <c r="E81" s="35" t="n"/>
      <c r="F81" s="36" t="n"/>
      <c r="G81" s="35" t="n"/>
      <c r="H81" s="37" t="n"/>
      <c r="I81" s="36" t="n"/>
      <c r="J81" s="36" t="n"/>
      <c r="K81" s="38" t="n"/>
      <c r="L81" s="24" t="n"/>
    </row>
    <row r="82">
      <c r="B82" s="24" t="n"/>
      <c r="C82" s="24" t="n"/>
      <c r="D82" s="24" t="n"/>
      <c r="E82" s="35" t="n"/>
      <c r="F82" s="36" t="n"/>
      <c r="G82" s="35" t="n"/>
      <c r="H82" s="37" t="n"/>
      <c r="I82" s="36" t="n"/>
      <c r="J82" s="36" t="n"/>
      <c r="K82" s="38" t="n"/>
      <c r="L82" s="24" t="n"/>
    </row>
    <row r="83">
      <c r="B83" s="24" t="n"/>
      <c r="C83" s="24" t="n"/>
      <c r="D83" s="24" t="n"/>
      <c r="E83" s="35" t="n"/>
      <c r="F83" s="36" t="n"/>
      <c r="G83" s="35" t="n"/>
      <c r="H83" s="37" t="n"/>
      <c r="I83" s="36" t="n"/>
      <c r="J83" s="36" t="n"/>
      <c r="K83" s="38" t="n"/>
      <c r="L83" s="24" t="n"/>
    </row>
    <row r="84">
      <c r="B84" s="24" t="n"/>
      <c r="C84" s="24" t="n"/>
      <c r="D84" s="24" t="n"/>
      <c r="E84" s="35" t="n"/>
      <c r="F84" s="36" t="n"/>
      <c r="G84" s="35" t="n"/>
      <c r="H84" s="37" t="n"/>
      <c r="I84" s="36" t="n"/>
      <c r="J84" s="36" t="n"/>
      <c r="K84" s="38" t="n"/>
      <c r="L84" s="24" t="n"/>
    </row>
    <row r="85">
      <c r="B85" s="24" t="n"/>
      <c r="C85" s="24" t="n"/>
      <c r="D85" s="24" t="n"/>
      <c r="E85" s="35" t="n"/>
      <c r="F85" s="36" t="n"/>
      <c r="G85" s="35" t="n"/>
      <c r="H85" s="37" t="n"/>
      <c r="I85" s="36" t="n"/>
      <c r="J85" s="36" t="n"/>
      <c r="K85" s="38" t="n"/>
      <c r="L85" s="24" t="n"/>
    </row>
    <row r="86">
      <c r="B86" s="24" t="n"/>
      <c r="C86" s="24" t="n"/>
      <c r="D86" s="24" t="n"/>
      <c r="E86" s="35" t="n"/>
      <c r="F86" s="36" t="n"/>
      <c r="G86" s="35" t="n"/>
      <c r="H86" s="37" t="n"/>
      <c r="I86" s="36" t="n"/>
      <c r="J86" s="36" t="n"/>
      <c r="K86" s="38" t="n"/>
      <c r="L86" s="24" t="n"/>
    </row>
    <row r="87">
      <c r="B87" s="24" t="n"/>
      <c r="C87" s="24" t="n"/>
      <c r="D87" s="24" t="n"/>
      <c r="E87" s="35" t="n"/>
      <c r="F87" s="36" t="n"/>
      <c r="G87" s="35" t="n"/>
      <c r="H87" s="37" t="n"/>
      <c r="I87" s="36" t="n"/>
      <c r="J87" s="36" t="n"/>
      <c r="K87" s="38" t="n"/>
      <c r="L87" s="24" t="n"/>
    </row>
    <row r="88">
      <c r="B88" s="24" t="n"/>
      <c r="C88" s="24" t="n"/>
      <c r="D88" s="24" t="n"/>
      <c r="E88" s="35" t="n"/>
      <c r="F88" s="36" t="n"/>
      <c r="G88" s="35" t="n"/>
      <c r="H88" s="37" t="n"/>
      <c r="I88" s="36" t="n"/>
      <c r="J88" s="36" t="n"/>
      <c r="K88" s="38" t="n"/>
      <c r="L88" s="24" t="n"/>
    </row>
    <row r="89">
      <c r="B89" s="24" t="n"/>
      <c r="C89" s="24" t="n"/>
      <c r="D89" s="24" t="n"/>
      <c r="E89" s="35" t="n"/>
      <c r="F89" s="36" t="n"/>
      <c r="G89" s="35" t="n"/>
      <c r="H89" s="37" t="n"/>
      <c r="I89" s="36" t="n"/>
      <c r="J89" s="36" t="n"/>
      <c r="K89" s="38" t="n"/>
      <c r="L89" s="24" t="n"/>
    </row>
    <row r="90">
      <c r="B90" s="24" t="n"/>
      <c r="C90" s="24" t="n"/>
      <c r="D90" s="24" t="n"/>
      <c r="E90" s="35" t="n"/>
      <c r="F90" s="36" t="n"/>
      <c r="G90" s="35" t="n"/>
      <c r="H90" s="37" t="n"/>
      <c r="I90" s="36" t="n"/>
      <c r="J90" s="36" t="n"/>
      <c r="K90" s="38" t="n"/>
      <c r="L90" s="24" t="n"/>
    </row>
    <row r="91">
      <c r="B91" s="24" t="n"/>
      <c r="C91" s="24" t="n"/>
      <c r="D91" s="24" t="n"/>
      <c r="E91" s="35" t="n"/>
      <c r="F91" s="36" t="n"/>
      <c r="G91" s="35" t="n"/>
      <c r="H91" s="37" t="n"/>
      <c r="I91" s="36" t="n"/>
      <c r="J91" s="36" t="n"/>
      <c r="K91" s="38" t="n"/>
      <c r="L91" s="24" t="n"/>
    </row>
    <row r="92">
      <c r="B92" s="24" t="n"/>
      <c r="C92" s="24" t="n"/>
      <c r="D92" s="24" t="n"/>
      <c r="E92" s="35" t="n"/>
      <c r="F92" s="36" t="n"/>
      <c r="G92" s="35" t="n"/>
      <c r="H92" s="37" t="n"/>
      <c r="I92" s="36" t="n"/>
      <c r="J92" s="36" t="n"/>
      <c r="K92" s="38" t="n"/>
      <c r="L92" s="24" t="n"/>
    </row>
    <row r="93">
      <c r="B93" s="24" t="n"/>
      <c r="C93" s="24" t="n"/>
      <c r="D93" s="24" t="n"/>
      <c r="E93" s="35" t="n"/>
      <c r="F93" s="36" t="n"/>
      <c r="G93" s="35" t="n"/>
      <c r="H93" s="37" t="n"/>
      <c r="I93" s="36" t="n"/>
      <c r="J93" s="36" t="n"/>
      <c r="K93" s="38" t="n"/>
      <c r="L93" s="24" t="n"/>
    </row>
    <row r="94">
      <c r="B94" s="24" t="n"/>
      <c r="C94" s="24" t="n"/>
      <c r="D94" s="24" t="n"/>
      <c r="E94" s="35" t="n"/>
      <c r="F94" s="36" t="n"/>
      <c r="G94" s="35" t="n"/>
      <c r="H94" s="37" t="n"/>
      <c r="I94" s="36" t="n"/>
      <c r="J94" s="36" t="n"/>
      <c r="K94" s="38" t="n"/>
      <c r="L94" s="24" t="n"/>
    </row>
    <row r="95">
      <c r="B95" s="24" t="n"/>
      <c r="C95" s="24" t="n"/>
      <c r="D95" s="24" t="n"/>
      <c r="E95" s="35" t="n"/>
      <c r="F95" s="36" t="n"/>
      <c r="G95" s="35" t="n"/>
      <c r="H95" s="37" t="n"/>
      <c r="I95" s="36" t="n"/>
      <c r="J95" s="36" t="n"/>
      <c r="K95" s="38" t="n"/>
      <c r="L95" s="24" t="n"/>
    </row>
    <row r="96">
      <c r="B96" s="24" t="n"/>
      <c r="C96" s="24" t="n"/>
      <c r="D96" s="24" t="n"/>
      <c r="E96" s="35" t="n"/>
      <c r="F96" s="36" t="n"/>
      <c r="G96" s="35" t="n"/>
      <c r="H96" s="37" t="n"/>
      <c r="I96" s="36" t="n"/>
      <c r="J96" s="36" t="n"/>
      <c r="K96" s="38" t="n"/>
      <c r="L96" s="24" t="n"/>
    </row>
    <row r="97">
      <c r="B97" s="24" t="n"/>
      <c r="C97" s="24" t="n"/>
      <c r="D97" s="24" t="n"/>
      <c r="E97" s="35" t="n"/>
      <c r="F97" s="36" t="n"/>
      <c r="G97" s="35" t="n"/>
      <c r="H97" s="37" t="n"/>
      <c r="I97" s="36" t="n"/>
      <c r="J97" s="36" t="n"/>
      <c r="K97" s="38" t="n"/>
      <c r="L97" s="24" t="n"/>
    </row>
    <row r="98">
      <c r="B98" s="24" t="n"/>
      <c r="C98" s="24" t="n"/>
      <c r="D98" s="24" t="n"/>
      <c r="E98" s="35" t="n"/>
      <c r="F98" s="36" t="n"/>
      <c r="G98" s="35" t="n"/>
      <c r="H98" s="37" t="n"/>
      <c r="I98" s="36" t="n"/>
      <c r="J98" s="36" t="n"/>
      <c r="K98" s="38" t="n"/>
      <c r="L98" s="24" t="n"/>
    </row>
    <row r="99">
      <c r="B99" s="24" t="n"/>
      <c r="C99" s="24" t="n"/>
      <c r="D99" s="24" t="n"/>
      <c r="E99" s="35" t="n"/>
      <c r="F99" s="36" t="n"/>
      <c r="G99" s="35" t="n"/>
      <c r="H99" s="37" t="n"/>
      <c r="I99" s="36" t="n"/>
      <c r="J99" s="36" t="n"/>
      <c r="K99" s="38" t="n"/>
      <c r="L99" s="24" t="n"/>
    </row>
    <row r="100">
      <c r="B100" s="24" t="n"/>
      <c r="C100" s="24" t="n"/>
      <c r="D100" s="24" t="n"/>
      <c r="E100" s="35" t="n"/>
      <c r="F100" s="36" t="n"/>
      <c r="G100" s="35" t="n"/>
      <c r="H100" s="37" t="n"/>
      <c r="I100" s="36" t="n"/>
      <c r="J100" s="36" t="n"/>
      <c r="K100" s="38" t="n"/>
      <c r="L100" s="24" t="n"/>
    </row>
    <row r="101">
      <c r="B101" s="24" t="n"/>
      <c r="C101" s="24" t="n"/>
      <c r="D101" s="24" t="n"/>
      <c r="E101" s="35" t="n"/>
      <c r="F101" s="36" t="n"/>
      <c r="G101" s="35" t="n"/>
      <c r="H101" s="37" t="n"/>
      <c r="I101" s="36" t="n"/>
      <c r="J101" s="36" t="n"/>
      <c r="K101" s="38" t="n"/>
      <c r="L101" s="24" t="n"/>
    </row>
    <row r="102">
      <c r="B102" s="24" t="n"/>
      <c r="C102" s="24" t="n"/>
      <c r="D102" s="24" t="n"/>
      <c r="E102" s="35" t="n"/>
      <c r="F102" s="36" t="n"/>
      <c r="G102" s="35" t="n"/>
      <c r="H102" s="37" t="n"/>
      <c r="I102" s="36" t="n"/>
      <c r="J102" s="36" t="n"/>
      <c r="K102" s="38" t="n"/>
      <c r="L102" s="24" t="n"/>
    </row>
    <row r="103">
      <c r="B103" s="24" t="n"/>
      <c r="C103" s="24" t="n"/>
      <c r="D103" s="24" t="n"/>
      <c r="E103" s="35" t="n"/>
      <c r="F103" s="36" t="n"/>
      <c r="G103" s="35" t="n"/>
      <c r="H103" s="37" t="n"/>
      <c r="I103" s="36" t="n"/>
      <c r="J103" s="36" t="n"/>
      <c r="K103" s="38" t="n"/>
      <c r="L103" s="24" t="n"/>
    </row>
    <row r="104">
      <c r="B104" s="24" t="n"/>
      <c r="C104" s="24" t="n"/>
      <c r="D104" s="24" t="n"/>
      <c r="E104" s="35" t="n"/>
      <c r="F104" s="36" t="n"/>
      <c r="G104" s="35" t="n"/>
      <c r="H104" s="37" t="n"/>
      <c r="I104" s="36" t="n"/>
      <c r="J104" s="36" t="n"/>
      <c r="K104" s="38" t="n"/>
      <c r="L104" s="24" t="n"/>
    </row>
    <row r="105">
      <c r="B105" s="24" t="n"/>
      <c r="C105" s="24" t="n"/>
      <c r="D105" s="24" t="n"/>
      <c r="E105" s="35" t="n"/>
      <c r="F105" s="36" t="n"/>
      <c r="G105" s="35" t="n"/>
      <c r="H105" s="37" t="n"/>
      <c r="I105" s="36" t="n"/>
      <c r="J105" s="36" t="n"/>
      <c r="K105" s="38" t="n"/>
      <c r="L105" s="24" t="n"/>
    </row>
    <row r="106">
      <c r="B106" s="24" t="n"/>
      <c r="C106" s="24" t="n"/>
      <c r="D106" s="24" t="n"/>
      <c r="E106" s="35" t="n"/>
      <c r="F106" s="36" t="n"/>
      <c r="G106" s="35" t="n"/>
      <c r="H106" s="37" t="n"/>
      <c r="I106" s="36" t="n"/>
      <c r="J106" s="36" t="n"/>
      <c r="K106" s="38" t="n"/>
      <c r="L106" s="24" t="n"/>
    </row>
    <row r="107">
      <c r="B107" s="24" t="n"/>
      <c r="C107" s="24" t="n"/>
      <c r="D107" s="24" t="n"/>
      <c r="E107" s="35" t="n"/>
      <c r="F107" s="36" t="n"/>
      <c r="G107" s="35" t="n"/>
      <c r="H107" s="37" t="n"/>
      <c r="I107" s="36" t="n"/>
      <c r="J107" s="36" t="n"/>
      <c r="K107" s="38" t="n"/>
      <c r="L107" s="24" t="n"/>
    </row>
    <row r="108">
      <c r="B108" s="24" t="n"/>
      <c r="C108" s="24" t="n"/>
      <c r="D108" s="24" t="n"/>
      <c r="E108" s="35" t="n"/>
      <c r="F108" s="36" t="n"/>
      <c r="G108" s="35" t="n"/>
      <c r="H108" s="37" t="n"/>
      <c r="I108" s="36" t="n"/>
      <c r="J108" s="36" t="n"/>
      <c r="K108" s="38" t="n"/>
      <c r="L108" s="24" t="n"/>
    </row>
    <row r="109">
      <c r="B109" s="24" t="n"/>
      <c r="C109" s="24" t="n"/>
      <c r="D109" s="24" t="n"/>
      <c r="E109" s="35" t="n"/>
      <c r="F109" s="36" t="n"/>
      <c r="G109" s="35" t="n"/>
      <c r="H109" s="37" t="n"/>
      <c r="I109" s="36" t="n"/>
      <c r="J109" s="36" t="n"/>
      <c r="K109" s="38" t="n"/>
      <c r="L109" s="24" t="n"/>
    </row>
    <row r="110">
      <c r="B110" s="24" t="n"/>
      <c r="C110" s="24" t="n"/>
      <c r="D110" s="24" t="n"/>
      <c r="E110" s="35" t="n"/>
      <c r="F110" s="36" t="n"/>
      <c r="G110" s="35" t="n"/>
      <c r="H110" s="37" t="n"/>
      <c r="I110" s="36" t="n"/>
      <c r="J110" s="36" t="n"/>
      <c r="K110" s="38" t="n"/>
      <c r="L110" s="24" t="n"/>
    </row>
    <row r="111">
      <c r="B111" s="24" t="n"/>
      <c r="C111" s="24" t="n"/>
      <c r="D111" s="24" t="n"/>
      <c r="E111" s="35" t="n"/>
      <c r="F111" s="36" t="n"/>
      <c r="G111" s="35" t="n"/>
      <c r="H111" s="37" t="n"/>
      <c r="I111" s="36" t="n"/>
      <c r="J111" s="36" t="n"/>
      <c r="K111" s="38" t="n"/>
      <c r="L111" s="24" t="n"/>
    </row>
    <row r="112">
      <c r="B112" s="24" t="n"/>
      <c r="C112" s="24" t="n"/>
      <c r="D112" s="24" t="n"/>
      <c r="E112" s="35" t="n"/>
      <c r="F112" s="36" t="n"/>
      <c r="G112" s="35" t="n"/>
      <c r="H112" s="37" t="n"/>
      <c r="I112" s="36" t="n"/>
      <c r="J112" s="36" t="n"/>
      <c r="K112" s="38" t="n"/>
      <c r="L112" s="24" t="n"/>
    </row>
    <row r="113">
      <c r="B113" s="24" t="n"/>
      <c r="C113" s="24" t="n"/>
      <c r="D113" s="24" t="n"/>
      <c r="E113" s="35" t="n"/>
      <c r="F113" s="36" t="n"/>
      <c r="G113" s="35" t="n"/>
      <c r="H113" s="37" t="n"/>
      <c r="I113" s="36" t="n"/>
      <c r="J113" s="36" t="n"/>
      <c r="K113" s="38" t="n"/>
      <c r="L113" s="24" t="n"/>
    </row>
    <row r="114">
      <c r="B114" s="24" t="n"/>
      <c r="C114" s="24" t="n"/>
      <c r="D114" s="24" t="n"/>
      <c r="E114" s="35" t="n"/>
      <c r="F114" s="36" t="n"/>
      <c r="G114" s="35" t="n"/>
      <c r="H114" s="37" t="n"/>
      <c r="I114" s="36" t="n"/>
      <c r="J114" s="36" t="n"/>
      <c r="K114" s="38" t="n"/>
      <c r="L114" s="24" t="n"/>
    </row>
    <row r="115">
      <c r="B115" s="24" t="n"/>
      <c r="C115" s="24" t="n"/>
      <c r="D115" s="24" t="n"/>
      <c r="E115" s="35" t="n"/>
      <c r="F115" s="36" t="n"/>
      <c r="G115" s="35" t="n"/>
      <c r="H115" s="37" t="n"/>
      <c r="I115" s="36" t="n"/>
      <c r="J115" s="36" t="n"/>
      <c r="K115" s="38" t="n"/>
      <c r="L115" s="24" t="n"/>
    </row>
    <row r="116">
      <c r="B116" s="24" t="n"/>
      <c r="C116" s="24" t="n"/>
      <c r="D116" s="24" t="n"/>
      <c r="E116" s="35" t="n"/>
      <c r="F116" s="36" t="n"/>
      <c r="G116" s="35" t="n"/>
      <c r="H116" s="37" t="n"/>
      <c r="I116" s="36" t="n"/>
      <c r="J116" s="36" t="n"/>
      <c r="K116" s="38" t="n"/>
      <c r="L116" s="24" t="n"/>
    </row>
    <row r="117">
      <c r="B117" s="24" t="n"/>
      <c r="C117" s="24" t="n"/>
      <c r="D117" s="24" t="n"/>
      <c r="E117" s="35" t="n"/>
      <c r="F117" s="36" t="n"/>
      <c r="G117" s="35" t="n"/>
      <c r="H117" s="37" t="n"/>
      <c r="I117" s="36" t="n"/>
      <c r="J117" s="36" t="n"/>
      <c r="K117" s="38" t="n"/>
      <c r="L117" s="24" t="n"/>
    </row>
    <row r="118">
      <c r="B118" s="24" t="n"/>
      <c r="C118" s="24" t="n"/>
      <c r="D118" s="24" t="n"/>
      <c r="E118" s="35" t="n"/>
      <c r="F118" s="36" t="n"/>
      <c r="G118" s="35" t="n"/>
      <c r="H118" s="37" t="n"/>
      <c r="I118" s="36" t="n"/>
      <c r="J118" s="36" t="n"/>
      <c r="K118" s="38" t="n"/>
      <c r="L118" s="24" t="n"/>
    </row>
    <row r="119">
      <c r="B119" s="24" t="n"/>
      <c r="C119" s="24" t="n"/>
      <c r="D119" s="24" t="n"/>
      <c r="E119" s="35" t="n"/>
      <c r="F119" s="36" t="n"/>
      <c r="G119" s="35" t="n"/>
      <c r="H119" s="37" t="n"/>
      <c r="I119" s="36" t="n"/>
      <c r="J119" s="36" t="n"/>
      <c r="K119" s="38" t="n"/>
      <c r="L119" s="24" t="n"/>
    </row>
    <row r="120">
      <c r="B120" s="24" t="n"/>
      <c r="C120" s="24" t="n"/>
      <c r="D120" s="24" t="n"/>
      <c r="E120" s="35" t="n"/>
      <c r="F120" s="36" t="n"/>
      <c r="G120" s="35" t="n"/>
      <c r="H120" s="37" t="n"/>
      <c r="I120" s="36" t="n"/>
      <c r="J120" s="36" t="n"/>
      <c r="K120" s="38" t="n"/>
      <c r="L120" s="24" t="n"/>
    </row>
    <row r="121">
      <c r="B121" s="24" t="n"/>
      <c r="C121" s="24" t="n"/>
      <c r="D121" s="24" t="n"/>
      <c r="E121" s="35" t="n"/>
      <c r="F121" s="36" t="n"/>
      <c r="G121" s="35" t="n"/>
      <c r="H121" s="37" t="n"/>
      <c r="I121" s="36" t="n"/>
      <c r="J121" s="36" t="n"/>
      <c r="K121" s="38" t="n"/>
      <c r="L121" s="24" t="n"/>
    </row>
    <row r="122">
      <c r="B122" s="24" t="n"/>
      <c r="C122" s="24" t="n"/>
      <c r="D122" s="24" t="n"/>
      <c r="E122" s="35" t="n"/>
      <c r="F122" s="36" t="n"/>
      <c r="G122" s="35" t="n"/>
      <c r="H122" s="37" t="n"/>
      <c r="I122" s="36" t="n"/>
      <c r="J122" s="36" t="n"/>
      <c r="K122" s="38" t="n"/>
      <c r="L122" s="24" t="n"/>
    </row>
    <row r="123">
      <c r="B123" s="24" t="n"/>
      <c r="C123" s="24" t="n"/>
      <c r="D123" s="24" t="n"/>
      <c r="E123" s="35" t="n"/>
      <c r="F123" s="36" t="n"/>
      <c r="G123" s="35" t="n"/>
      <c r="H123" s="37" t="n"/>
      <c r="I123" s="36" t="n"/>
      <c r="J123" s="36" t="n"/>
      <c r="K123" s="38" t="n"/>
      <c r="L123" s="24" t="n"/>
    </row>
    <row r="124">
      <c r="B124" s="24" t="n"/>
      <c r="C124" s="24" t="n"/>
      <c r="D124" s="24" t="n"/>
      <c r="E124" s="35" t="n"/>
      <c r="F124" s="36" t="n"/>
      <c r="G124" s="35" t="n"/>
      <c r="H124" s="37" t="n"/>
      <c r="I124" s="36" t="n"/>
      <c r="J124" s="36" t="n"/>
      <c r="K124" s="38" t="n"/>
      <c r="L124" s="24" t="n"/>
    </row>
    <row r="125">
      <c r="B125" s="24" t="n"/>
      <c r="C125" s="24" t="n"/>
      <c r="D125" s="24" t="n"/>
      <c r="E125" s="35" t="n"/>
      <c r="F125" s="36" t="n"/>
      <c r="G125" s="35" t="n"/>
      <c r="H125" s="37" t="n"/>
      <c r="I125" s="36" t="n"/>
      <c r="J125" s="36" t="n"/>
      <c r="K125" s="38" t="n"/>
      <c r="L125" s="24" t="n"/>
    </row>
    <row r="126">
      <c r="B126" s="24" t="n"/>
      <c r="C126" s="24" t="n"/>
      <c r="D126" s="24" t="n"/>
      <c r="E126" s="35" t="n"/>
      <c r="F126" s="36" t="n"/>
      <c r="G126" s="35" t="n"/>
      <c r="H126" s="37" t="n"/>
      <c r="I126" s="36" t="n"/>
      <c r="J126" s="36" t="n"/>
      <c r="K126" s="38" t="n"/>
      <c r="L126" s="24" t="n"/>
    </row>
    <row r="127">
      <c r="B127" s="24" t="n"/>
      <c r="C127" s="24" t="n"/>
      <c r="D127" s="24" t="n"/>
      <c r="E127" s="35" t="n"/>
      <c r="F127" s="36" t="n"/>
      <c r="G127" s="35" t="n"/>
      <c r="H127" s="37" t="n"/>
      <c r="I127" s="36" t="n"/>
      <c r="J127" s="36" t="n"/>
      <c r="K127" s="38" t="n"/>
      <c r="L127" s="24" t="n"/>
    </row>
    <row r="128">
      <c r="B128" s="24" t="n"/>
      <c r="C128" s="24" t="n"/>
      <c r="D128" s="24" t="n"/>
      <c r="E128" s="35" t="n"/>
      <c r="F128" s="36" t="n"/>
      <c r="G128" s="35" t="n"/>
      <c r="H128" s="37" t="n"/>
      <c r="I128" s="36" t="n"/>
      <c r="J128" s="36" t="n"/>
      <c r="K128" s="38" t="n"/>
      <c r="L128" s="24" t="n"/>
    </row>
    <row r="129">
      <c r="B129" s="24" t="n"/>
      <c r="C129" s="24" t="n"/>
      <c r="D129" s="24" t="n"/>
      <c r="E129" s="35" t="n"/>
      <c r="F129" s="36" t="n"/>
      <c r="G129" s="35" t="n"/>
      <c r="H129" s="37" t="n"/>
      <c r="I129" s="36" t="n"/>
      <c r="J129" s="36" t="n"/>
      <c r="K129" s="38" t="n"/>
      <c r="L129" s="24" t="n"/>
    </row>
    <row r="130">
      <c r="B130" s="24" t="n"/>
      <c r="C130" s="24" t="n"/>
      <c r="D130" s="24" t="n"/>
      <c r="E130" s="35" t="n"/>
      <c r="F130" s="36" t="n"/>
      <c r="G130" s="35" t="n"/>
      <c r="H130" s="37" t="n"/>
      <c r="I130" s="36" t="n"/>
      <c r="J130" s="36" t="n"/>
      <c r="K130" s="38" t="n"/>
      <c r="L130" s="24" t="n"/>
    </row>
    <row r="131">
      <c r="B131" s="24" t="n"/>
      <c r="C131" s="24" t="n"/>
      <c r="D131" s="24" t="n"/>
      <c r="E131" s="35" t="n"/>
      <c r="F131" s="36" t="n"/>
      <c r="G131" s="35" t="n"/>
      <c r="H131" s="37" t="n"/>
      <c r="I131" s="36" t="n"/>
      <c r="J131" s="36" t="n"/>
      <c r="K131" s="38" t="n"/>
      <c r="L131" s="24" t="n"/>
    </row>
    <row r="132">
      <c r="B132" s="24" t="n"/>
      <c r="C132" s="24" t="n"/>
      <c r="D132" s="24" t="n"/>
      <c r="E132" s="35" t="n"/>
      <c r="F132" s="36" t="n"/>
      <c r="G132" s="35" t="n"/>
      <c r="H132" s="37" t="n"/>
      <c r="I132" s="36" t="n"/>
      <c r="J132" s="36" t="n"/>
      <c r="K132" s="38" t="n"/>
      <c r="L132" s="24" t="n"/>
    </row>
    <row r="133">
      <c r="B133" s="24" t="n"/>
      <c r="C133" s="24" t="n"/>
      <c r="D133" s="24" t="n"/>
      <c r="E133" s="35" t="n"/>
      <c r="F133" s="36" t="n"/>
      <c r="G133" s="35" t="n"/>
      <c r="H133" s="37" t="n"/>
      <c r="I133" s="36" t="n"/>
      <c r="J133" s="36" t="n"/>
      <c r="K133" s="38" t="n"/>
      <c r="L133" s="24" t="n"/>
    </row>
    <row r="134">
      <c r="B134" s="24" t="n"/>
      <c r="C134" s="24" t="n"/>
      <c r="D134" s="24" t="n"/>
      <c r="E134" s="35" t="n"/>
      <c r="F134" s="36" t="n"/>
      <c r="G134" s="35" t="n"/>
      <c r="H134" s="37" t="n"/>
      <c r="I134" s="36" t="n"/>
      <c r="J134" s="36" t="n"/>
      <c r="K134" s="38" t="n"/>
      <c r="L134" s="24" t="n"/>
    </row>
    <row r="135">
      <c r="B135" s="24" t="n"/>
      <c r="C135" s="24" t="n"/>
      <c r="D135" s="24" t="n"/>
      <c r="E135" s="35" t="n"/>
      <c r="F135" s="36" t="n"/>
      <c r="G135" s="35" t="n"/>
      <c r="H135" s="37" t="n"/>
      <c r="I135" s="36" t="n"/>
      <c r="J135" s="36" t="n"/>
      <c r="K135" s="38" t="n"/>
      <c r="L135" s="24" t="n"/>
    </row>
    <row r="136">
      <c r="B136" s="24" t="n"/>
      <c r="C136" s="24" t="n"/>
      <c r="D136" s="24" t="n"/>
      <c r="E136" s="35" t="n"/>
      <c r="F136" s="36" t="n"/>
      <c r="G136" s="35" t="n"/>
      <c r="H136" s="37" t="n"/>
      <c r="I136" s="36" t="n"/>
      <c r="J136" s="36" t="n"/>
      <c r="K136" s="38" t="n"/>
      <c r="L136" s="24" t="n"/>
    </row>
    <row r="137">
      <c r="B137" s="24" t="n"/>
      <c r="C137" s="24" t="n"/>
      <c r="D137" s="24" t="n"/>
      <c r="E137" s="35" t="n"/>
      <c r="F137" s="36" t="n"/>
      <c r="G137" s="35" t="n"/>
      <c r="H137" s="37" t="n"/>
      <c r="I137" s="36" t="n"/>
      <c r="J137" s="36" t="n"/>
      <c r="K137" s="38" t="n"/>
      <c r="L137" s="24" t="n"/>
    </row>
    <row r="138">
      <c r="B138" s="24" t="n"/>
      <c r="C138" s="24" t="n"/>
      <c r="D138" s="24" t="n"/>
      <c r="E138" s="35" t="n"/>
      <c r="F138" s="36" t="n"/>
      <c r="G138" s="35" t="n"/>
      <c r="H138" s="37" t="n"/>
      <c r="I138" s="36" t="n"/>
      <c r="J138" s="36" t="n"/>
      <c r="K138" s="38" t="n"/>
      <c r="L138" s="24" t="n"/>
    </row>
    <row r="139">
      <c r="B139" s="24" t="n"/>
      <c r="C139" s="24" t="n"/>
      <c r="D139" s="24" t="n"/>
      <c r="E139" s="35" t="n"/>
      <c r="F139" s="36" t="n"/>
      <c r="G139" s="35" t="n"/>
      <c r="H139" s="37" t="n"/>
      <c r="I139" s="36" t="n"/>
      <c r="J139" s="36" t="n"/>
      <c r="K139" s="38" t="n"/>
      <c r="L139" s="24" t="n"/>
    </row>
    <row r="140">
      <c r="B140" s="24" t="n"/>
      <c r="C140" s="24" t="n"/>
      <c r="D140" s="24" t="n"/>
      <c r="E140" s="35" t="n"/>
      <c r="F140" s="36" t="n"/>
      <c r="G140" s="35" t="n"/>
      <c r="H140" s="37" t="n"/>
      <c r="I140" s="36" t="n"/>
      <c r="J140" s="36" t="n"/>
      <c r="K140" s="38" t="n"/>
      <c r="L140" s="24" t="n"/>
    </row>
    <row r="141">
      <c r="B141" s="24" t="n"/>
      <c r="C141" s="24" t="n"/>
      <c r="D141" s="24" t="n"/>
      <c r="E141" s="35" t="n"/>
      <c r="F141" s="36" t="n"/>
      <c r="G141" s="35" t="n"/>
      <c r="H141" s="37" t="n"/>
      <c r="I141" s="36" t="n"/>
      <c r="J141" s="36" t="n"/>
      <c r="K141" s="38" t="n"/>
      <c r="L141" s="24" t="n"/>
    </row>
    <row r="142">
      <c r="B142" s="24" t="n"/>
      <c r="C142" s="24" t="n"/>
      <c r="D142" s="24" t="n"/>
      <c r="E142" s="35" t="n"/>
      <c r="F142" s="36" t="n"/>
      <c r="G142" s="35" t="n"/>
      <c r="H142" s="37" t="n"/>
      <c r="I142" s="36" t="n"/>
      <c r="J142" s="36" t="n"/>
      <c r="K142" s="38" t="n"/>
      <c r="L142" s="24" t="n"/>
    </row>
    <row r="143">
      <c r="B143" s="24" t="n"/>
      <c r="C143" s="24" t="n"/>
      <c r="D143" s="24" t="n"/>
      <c r="E143" s="35" t="n"/>
      <c r="F143" s="36" t="n"/>
      <c r="G143" s="35" t="n"/>
      <c r="H143" s="37" t="n"/>
      <c r="I143" s="36" t="n"/>
      <c r="J143" s="36" t="n"/>
      <c r="K143" s="38" t="n"/>
      <c r="L143" s="24" t="n"/>
    </row>
    <row r="144">
      <c r="B144" s="24" t="n"/>
      <c r="C144" s="24" t="n"/>
      <c r="D144" s="24" t="n"/>
      <c r="E144" s="35" t="n"/>
      <c r="F144" s="36" t="n"/>
      <c r="G144" s="35" t="n"/>
      <c r="H144" s="37" t="n"/>
      <c r="I144" s="36" t="n"/>
      <c r="J144" s="36" t="n"/>
      <c r="K144" s="38" t="n"/>
      <c r="L144" s="24" t="n"/>
    </row>
    <row r="145">
      <c r="B145" s="24" t="n"/>
      <c r="C145" s="24" t="n"/>
      <c r="D145" s="24" t="n"/>
      <c r="E145" s="35" t="n"/>
      <c r="F145" s="36" t="n"/>
      <c r="G145" s="35" t="n"/>
      <c r="H145" s="37" t="n"/>
      <c r="I145" s="36" t="n"/>
      <c r="J145" s="36" t="n"/>
      <c r="K145" s="38" t="n"/>
      <c r="L145" s="24" t="n"/>
    </row>
    <row r="146">
      <c r="B146" s="24" t="n"/>
      <c r="C146" s="24" t="n"/>
      <c r="D146" s="24" t="n"/>
      <c r="E146" s="35" t="n"/>
      <c r="F146" s="36" t="n"/>
      <c r="G146" s="35" t="n"/>
      <c r="H146" s="37" t="n"/>
      <c r="I146" s="36" t="n"/>
      <c r="J146" s="36" t="n"/>
      <c r="K146" s="38" t="n"/>
      <c r="L146" s="24" t="n"/>
    </row>
    <row r="147">
      <c r="B147" s="24" t="n"/>
      <c r="C147" s="24" t="n"/>
      <c r="D147" s="24" t="n"/>
      <c r="E147" s="35" t="n"/>
      <c r="F147" s="36" t="n"/>
      <c r="G147" s="35" t="n"/>
      <c r="H147" s="37" t="n"/>
      <c r="I147" s="36" t="n"/>
      <c r="J147" s="36" t="n"/>
      <c r="K147" s="38" t="n"/>
      <c r="L147" s="24" t="n"/>
    </row>
    <row r="148">
      <c r="B148" s="24" t="n"/>
      <c r="C148" s="24" t="n"/>
      <c r="D148" s="24" t="n"/>
      <c r="E148" s="35" t="n"/>
      <c r="F148" s="36" t="n"/>
      <c r="G148" s="35" t="n"/>
      <c r="H148" s="37" t="n"/>
      <c r="I148" s="36" t="n"/>
      <c r="J148" s="36" t="n"/>
      <c r="K148" s="38" t="n"/>
      <c r="L148" s="24" t="n"/>
    </row>
    <row r="149">
      <c r="B149" s="24" t="n"/>
      <c r="C149" s="24" t="n"/>
      <c r="D149" s="24" t="n"/>
      <c r="E149" s="35" t="n"/>
      <c r="F149" s="36" t="n"/>
      <c r="G149" s="35" t="n"/>
      <c r="H149" s="37" t="n"/>
      <c r="I149" s="36" t="n"/>
      <c r="J149" s="36" t="n"/>
      <c r="K149" s="38" t="n"/>
      <c r="L149" s="24" t="n"/>
    </row>
    <row r="150">
      <c r="B150" s="24" t="n"/>
      <c r="C150" s="24" t="n"/>
      <c r="D150" s="24" t="n"/>
      <c r="E150" s="35" t="n"/>
      <c r="F150" s="36" t="n"/>
      <c r="G150" s="35" t="n"/>
      <c r="H150" s="37" t="n"/>
      <c r="I150" s="36" t="n"/>
      <c r="J150" s="36" t="n"/>
      <c r="K150" s="38" t="n"/>
      <c r="L150" s="24" t="n"/>
    </row>
    <row r="151">
      <c r="B151" s="24" t="n"/>
      <c r="C151" s="24" t="n"/>
      <c r="D151" s="24" t="n"/>
      <c r="E151" s="35" t="n"/>
      <c r="F151" s="36" t="n"/>
      <c r="G151" s="35" t="n"/>
      <c r="H151" s="37" t="n"/>
      <c r="I151" s="36" t="n"/>
      <c r="J151" s="36" t="n"/>
      <c r="K151" s="38" t="n"/>
      <c r="L151" s="24" t="n"/>
    </row>
    <row r="152">
      <c r="B152" s="24" t="n"/>
      <c r="C152" s="24" t="n"/>
      <c r="D152" s="24" t="n"/>
      <c r="E152" s="35" t="n"/>
      <c r="F152" s="36" t="n"/>
      <c r="G152" s="35" t="n"/>
      <c r="H152" s="37" t="n"/>
      <c r="I152" s="36" t="n"/>
      <c r="J152" s="36" t="n"/>
      <c r="K152" s="38" t="n"/>
      <c r="L152" s="24" t="n"/>
    </row>
    <row r="153">
      <c r="B153" s="24" t="n"/>
      <c r="C153" s="24" t="n"/>
      <c r="D153" s="24" t="n"/>
      <c r="E153" s="35" t="n"/>
      <c r="F153" s="36" t="n"/>
      <c r="G153" s="35" t="n"/>
      <c r="H153" s="37" t="n"/>
      <c r="I153" s="36" t="n"/>
      <c r="J153" s="36" t="n"/>
      <c r="K153" s="38" t="n"/>
      <c r="L153" s="24" t="n"/>
    </row>
    <row r="154">
      <c r="B154" s="24" t="n"/>
      <c r="C154" s="24" t="n"/>
      <c r="D154" s="24" t="n"/>
      <c r="E154" s="35" t="n"/>
      <c r="F154" s="36" t="n"/>
      <c r="G154" s="35" t="n"/>
      <c r="H154" s="37" t="n"/>
      <c r="I154" s="36" t="n"/>
      <c r="J154" s="36" t="n"/>
      <c r="K154" s="38" t="n"/>
      <c r="L154" s="24" t="n"/>
    </row>
    <row r="155">
      <c r="B155" s="24" t="n"/>
      <c r="C155" s="24" t="n"/>
      <c r="D155" s="24" t="n"/>
      <c r="E155" s="35" t="n"/>
      <c r="F155" s="36" t="n"/>
      <c r="G155" s="35" t="n"/>
      <c r="H155" s="37" t="n"/>
      <c r="I155" s="36" t="n"/>
      <c r="J155" s="36" t="n"/>
      <c r="K155" s="38" t="n"/>
      <c r="L155" s="24" t="n"/>
    </row>
    <row r="156">
      <c r="B156" s="24" t="n"/>
      <c r="C156" s="24" t="n"/>
      <c r="D156" s="24" t="n"/>
      <c r="E156" s="35" t="n"/>
      <c r="F156" s="36" t="n"/>
      <c r="G156" s="35" t="n"/>
      <c r="H156" s="37" t="n"/>
      <c r="I156" s="36" t="n"/>
      <c r="J156" s="36" t="n"/>
      <c r="K156" s="38" t="n"/>
      <c r="L156" s="24" t="n"/>
    </row>
    <row r="157">
      <c r="B157" s="24" t="n"/>
      <c r="C157" s="24" t="n"/>
      <c r="D157" s="24" t="n"/>
      <c r="E157" s="35" t="n"/>
      <c r="F157" s="36" t="n"/>
      <c r="G157" s="35" t="n"/>
      <c r="H157" s="37" t="n"/>
      <c r="I157" s="36" t="n"/>
      <c r="J157" s="36" t="n"/>
      <c r="K157" s="38" t="n"/>
      <c r="L157" s="24" t="n"/>
    </row>
    <row r="158">
      <c r="B158" s="24" t="n"/>
      <c r="C158" s="24" t="n"/>
      <c r="D158" s="24" t="n"/>
      <c r="E158" s="35" t="n"/>
      <c r="F158" s="36" t="n"/>
      <c r="G158" s="35" t="n"/>
      <c r="H158" s="37" t="n"/>
      <c r="I158" s="36" t="n"/>
      <c r="J158" s="36" t="n"/>
      <c r="K158" s="38" t="n"/>
      <c r="L158" s="24" t="n"/>
    </row>
    <row r="159">
      <c r="B159" s="24" t="n"/>
      <c r="C159" s="24" t="n"/>
      <c r="D159" s="24" t="n"/>
      <c r="E159" s="35" t="n"/>
      <c r="F159" s="36" t="n"/>
      <c r="G159" s="35" t="n"/>
      <c r="H159" s="37" t="n"/>
      <c r="I159" s="36" t="n"/>
      <c r="J159" s="36" t="n"/>
      <c r="K159" s="38" t="n"/>
      <c r="L159" s="24" t="n"/>
    </row>
    <row r="160">
      <c r="B160" s="24" t="n"/>
      <c r="C160" s="24" t="n"/>
      <c r="D160" s="24" t="n"/>
      <c r="E160" s="35" t="n"/>
      <c r="F160" s="36" t="n"/>
      <c r="G160" s="35" t="n"/>
      <c r="H160" s="37" t="n"/>
      <c r="I160" s="36" t="n"/>
      <c r="J160" s="36" t="n"/>
      <c r="K160" s="38" t="n"/>
      <c r="L160" s="24" t="n"/>
    </row>
    <row r="161">
      <c r="B161" s="24" t="n"/>
      <c r="C161" s="24" t="n"/>
      <c r="D161" s="24" t="n"/>
      <c r="E161" s="35" t="n"/>
      <c r="F161" s="36" t="n"/>
      <c r="G161" s="35" t="n"/>
      <c r="H161" s="37" t="n"/>
      <c r="I161" s="36" t="n"/>
      <c r="J161" s="36" t="n"/>
      <c r="K161" s="38" t="n"/>
      <c r="L161" s="24" t="n"/>
    </row>
    <row r="162">
      <c r="B162" s="24" t="n"/>
      <c r="C162" s="24" t="n"/>
      <c r="D162" s="24" t="n"/>
      <c r="E162" s="35" t="n"/>
      <c r="F162" s="36" t="n"/>
      <c r="G162" s="35" t="n"/>
      <c r="H162" s="37" t="n"/>
      <c r="I162" s="36" t="n"/>
      <c r="J162" s="36" t="n"/>
      <c r="K162" s="38" t="n"/>
      <c r="L162" s="24" t="n"/>
    </row>
    <row r="163">
      <c r="B163" s="24" t="n"/>
      <c r="C163" s="24" t="n"/>
      <c r="D163" s="24" t="n"/>
      <c r="E163" s="35" t="n"/>
      <c r="F163" s="36" t="n"/>
      <c r="G163" s="35" t="n"/>
      <c r="H163" s="37" t="n"/>
      <c r="I163" s="36" t="n"/>
      <c r="J163" s="36" t="n"/>
      <c r="K163" s="38" t="n"/>
      <c r="L163" s="24" t="n"/>
    </row>
    <row r="164">
      <c r="B164" s="24" t="n"/>
      <c r="C164" s="24" t="n"/>
      <c r="D164" s="24" t="n"/>
      <c r="E164" s="35" t="n"/>
      <c r="F164" s="36" t="n"/>
      <c r="G164" s="35" t="n"/>
      <c r="H164" s="37" t="n"/>
      <c r="I164" s="36" t="n"/>
      <c r="J164" s="36" t="n"/>
      <c r="K164" s="38" t="n"/>
      <c r="L164" s="24" t="n"/>
    </row>
    <row r="165">
      <c r="B165" s="24" t="n"/>
      <c r="C165" s="24" t="n"/>
      <c r="D165" s="24" t="n"/>
      <c r="E165" s="35" t="n"/>
      <c r="F165" s="36" t="n"/>
      <c r="G165" s="35" t="n"/>
      <c r="H165" s="37" t="n"/>
      <c r="I165" s="36" t="n"/>
      <c r="J165" s="36" t="n"/>
      <c r="K165" s="38" t="n"/>
      <c r="L165" s="24" t="n"/>
    </row>
    <row r="166">
      <c r="B166" s="24" t="n"/>
      <c r="C166" s="24" t="n"/>
      <c r="D166" s="24" t="n"/>
      <c r="E166" s="35" t="n"/>
      <c r="F166" s="36" t="n"/>
      <c r="G166" s="35" t="n"/>
      <c r="H166" s="37" t="n"/>
      <c r="I166" s="36" t="n"/>
      <c r="J166" s="36" t="n"/>
      <c r="K166" s="38" t="n"/>
      <c r="L166" s="24" t="n"/>
    </row>
    <row r="167">
      <c r="B167" s="24" t="n"/>
      <c r="C167" s="24" t="n"/>
      <c r="D167" s="24" t="n"/>
      <c r="E167" s="35" t="n"/>
      <c r="F167" s="36" t="n"/>
      <c r="G167" s="35" t="n"/>
      <c r="H167" s="37" t="n"/>
      <c r="I167" s="36" t="n"/>
      <c r="J167" s="36" t="n"/>
      <c r="K167" s="38" t="n"/>
      <c r="L167" s="24" t="n"/>
    </row>
    <row r="168">
      <c r="B168" s="24" t="n"/>
      <c r="C168" s="24" t="n"/>
      <c r="D168" s="24" t="n"/>
      <c r="E168" s="35" t="n"/>
      <c r="F168" s="36" t="n"/>
      <c r="G168" s="35" t="n"/>
      <c r="H168" s="37" t="n"/>
      <c r="I168" s="36" t="n"/>
      <c r="J168" s="36" t="n"/>
      <c r="K168" s="38" t="n"/>
      <c r="L168" s="24" t="n"/>
    </row>
    <row r="169">
      <c r="B169" s="24" t="n"/>
      <c r="C169" s="24" t="n"/>
      <c r="D169" s="24" t="n"/>
      <c r="E169" s="35" t="n"/>
      <c r="F169" s="36" t="n"/>
      <c r="G169" s="35" t="n"/>
      <c r="H169" s="37" t="n"/>
      <c r="I169" s="36" t="n"/>
      <c r="J169" s="36" t="n"/>
      <c r="K169" s="38" t="n"/>
      <c r="L169" s="24" t="n"/>
    </row>
    <row r="170">
      <c r="B170" s="24" t="n"/>
      <c r="C170" s="24" t="n"/>
      <c r="D170" s="24" t="n"/>
      <c r="E170" s="35" t="n"/>
      <c r="F170" s="36" t="n"/>
      <c r="G170" s="35" t="n"/>
      <c r="H170" s="37" t="n"/>
      <c r="I170" s="36" t="n"/>
      <c r="J170" s="36" t="n"/>
      <c r="K170" s="38" t="n"/>
      <c r="L170" s="24" t="n"/>
    </row>
    <row r="171">
      <c r="B171" s="24" t="n"/>
      <c r="C171" s="24" t="n"/>
      <c r="D171" s="24" t="n"/>
      <c r="E171" s="35" t="n"/>
      <c r="F171" s="36" t="n"/>
      <c r="G171" s="35" t="n"/>
      <c r="H171" s="37" t="n"/>
      <c r="I171" s="36" t="n"/>
      <c r="J171" s="36" t="n"/>
      <c r="K171" s="38" t="n"/>
      <c r="L171" s="24" t="n"/>
    </row>
    <row r="172">
      <c r="B172" s="24" t="n"/>
      <c r="C172" s="24" t="n"/>
      <c r="D172" s="24" t="n"/>
      <c r="E172" s="35" t="n"/>
      <c r="F172" s="36" t="n"/>
      <c r="G172" s="35" t="n"/>
      <c r="H172" s="37" t="n"/>
      <c r="I172" s="36" t="n"/>
      <c r="J172" s="36" t="n"/>
      <c r="K172" s="38" t="n"/>
      <c r="L172" s="24" t="n"/>
    </row>
    <row r="173">
      <c r="B173" s="24" t="n"/>
      <c r="C173" s="24" t="n"/>
      <c r="D173" s="24" t="n"/>
      <c r="E173" s="35" t="n"/>
      <c r="F173" s="36" t="n"/>
      <c r="G173" s="35" t="n"/>
      <c r="H173" s="37" t="n"/>
      <c r="I173" s="36" t="n"/>
      <c r="J173" s="36" t="n"/>
      <c r="K173" s="38" t="n"/>
      <c r="L173" s="24" t="n"/>
    </row>
    <row r="174">
      <c r="B174" s="24" t="n"/>
      <c r="C174" s="24" t="n"/>
      <c r="D174" s="24" t="n"/>
      <c r="E174" s="35" t="n"/>
      <c r="F174" s="36" t="n"/>
      <c r="G174" s="35" t="n"/>
      <c r="H174" s="37" t="n"/>
      <c r="I174" s="36" t="n"/>
      <c r="J174" s="36" t="n"/>
      <c r="K174" s="38" t="n"/>
      <c r="L174" s="24" t="n"/>
    </row>
    <row r="175">
      <c r="B175" s="24" t="n"/>
      <c r="C175" s="24" t="n"/>
      <c r="D175" s="24" t="n"/>
      <c r="E175" s="35" t="n"/>
      <c r="F175" s="36" t="n"/>
      <c r="G175" s="35" t="n"/>
      <c r="H175" s="37" t="n"/>
      <c r="I175" s="36" t="n"/>
      <c r="J175" s="36" t="n"/>
      <c r="K175" s="38" t="n"/>
      <c r="L175" s="24" t="n"/>
    </row>
    <row r="176">
      <c r="B176" s="24" t="n"/>
      <c r="C176" s="24" t="n"/>
      <c r="D176" s="24" t="n"/>
      <c r="E176" s="35" t="n"/>
      <c r="F176" s="36" t="n"/>
      <c r="G176" s="35" t="n"/>
      <c r="H176" s="37" t="n"/>
      <c r="I176" s="36" t="n"/>
      <c r="J176" s="36" t="n"/>
      <c r="K176" s="38" t="n"/>
      <c r="L176" s="24" t="n"/>
    </row>
    <row r="177">
      <c r="B177" s="24" t="n"/>
      <c r="C177" s="24" t="n"/>
      <c r="D177" s="24" t="n"/>
      <c r="E177" s="35" t="n"/>
      <c r="F177" s="36" t="n"/>
      <c r="G177" s="35" t="n"/>
      <c r="H177" s="37" t="n"/>
      <c r="I177" s="36" t="n"/>
      <c r="J177" s="36" t="n"/>
      <c r="K177" s="38" t="n"/>
      <c r="L177" s="24" t="n"/>
    </row>
    <row r="178">
      <c r="B178" s="24" t="n"/>
      <c r="C178" s="24" t="n"/>
      <c r="D178" s="24" t="n"/>
      <c r="E178" s="35" t="n"/>
      <c r="F178" s="36" t="n"/>
      <c r="G178" s="35" t="n"/>
      <c r="H178" s="37" t="n"/>
      <c r="I178" s="36" t="n"/>
      <c r="J178" s="36" t="n"/>
      <c r="K178" s="38" t="n"/>
      <c r="L178" s="24" t="n"/>
    </row>
    <row r="179">
      <c r="B179" s="24" t="n"/>
      <c r="C179" s="24" t="n"/>
      <c r="D179" s="24" t="n"/>
      <c r="E179" s="35" t="n"/>
      <c r="F179" s="36" t="n"/>
      <c r="G179" s="35" t="n"/>
      <c r="H179" s="37" t="n"/>
      <c r="I179" s="36" t="n"/>
      <c r="J179" s="36" t="n"/>
      <c r="K179" s="38" t="n"/>
      <c r="L179" s="24" t="n"/>
    </row>
    <row r="180">
      <c r="B180" s="24" t="n"/>
      <c r="C180" s="24" t="n"/>
      <c r="D180" s="24" t="n"/>
      <c r="E180" s="35" t="n"/>
      <c r="F180" s="36" t="n"/>
      <c r="G180" s="35" t="n"/>
      <c r="H180" s="37" t="n"/>
      <c r="I180" s="36" t="n"/>
      <c r="J180" s="36" t="n"/>
      <c r="K180" s="38" t="n"/>
      <c r="L180" s="24" t="n"/>
    </row>
    <row r="181">
      <c r="B181" s="24" t="n"/>
      <c r="C181" s="24" t="n"/>
      <c r="D181" s="24" t="n"/>
      <c r="E181" s="35" t="n"/>
      <c r="F181" s="36" t="n"/>
      <c r="G181" s="35" t="n"/>
      <c r="H181" s="37" t="n"/>
      <c r="I181" s="36" t="n"/>
      <c r="J181" s="36" t="n"/>
      <c r="K181" s="38" t="n"/>
      <c r="L181" s="24" t="n"/>
    </row>
    <row r="182">
      <c r="B182" s="24" t="n"/>
      <c r="C182" s="24" t="n"/>
      <c r="D182" s="24" t="n"/>
      <c r="E182" s="35" t="n"/>
      <c r="F182" s="36" t="n"/>
      <c r="G182" s="35" t="n"/>
      <c r="H182" s="37" t="n"/>
      <c r="I182" s="36" t="n"/>
      <c r="J182" s="36" t="n"/>
      <c r="K182" s="38" t="n"/>
      <c r="L182" s="24" t="n"/>
    </row>
    <row r="183">
      <c r="B183" s="24" t="n"/>
      <c r="C183" s="24" t="n"/>
      <c r="D183" s="24" t="n"/>
      <c r="E183" s="35" t="n"/>
      <c r="F183" s="36" t="n"/>
      <c r="G183" s="35" t="n"/>
      <c r="H183" s="37" t="n"/>
      <c r="I183" s="36" t="n"/>
      <c r="J183" s="36" t="n"/>
      <c r="K183" s="38" t="n"/>
      <c r="L183" s="24" t="n"/>
    </row>
    <row r="184">
      <c r="B184" s="24" t="n"/>
      <c r="C184" s="24" t="n"/>
      <c r="D184" s="24" t="n"/>
      <c r="E184" s="35" t="n"/>
      <c r="F184" s="36" t="n"/>
      <c r="G184" s="35" t="n"/>
      <c r="H184" s="37" t="n"/>
      <c r="I184" s="36" t="n"/>
      <c r="J184" s="36" t="n"/>
      <c r="K184" s="38" t="n"/>
      <c r="L184" s="24" t="n"/>
    </row>
    <row r="185">
      <c r="B185" s="24" t="n"/>
      <c r="C185" s="24" t="n"/>
      <c r="D185" s="24" t="n"/>
      <c r="E185" s="35" t="n"/>
      <c r="F185" s="36" t="n"/>
      <c r="G185" s="35" t="n"/>
      <c r="H185" s="37" t="n"/>
      <c r="I185" s="36" t="n"/>
      <c r="J185" s="36" t="n"/>
      <c r="K185" s="38" t="n"/>
      <c r="L185" s="24" t="n"/>
    </row>
    <row r="186">
      <c r="B186" s="24" t="n"/>
      <c r="C186" s="24" t="n"/>
      <c r="D186" s="24" t="n"/>
      <c r="E186" s="35" t="n"/>
      <c r="F186" s="36" t="n"/>
      <c r="G186" s="35" t="n"/>
      <c r="H186" s="37" t="n"/>
      <c r="I186" s="36" t="n"/>
      <c r="J186" s="36" t="n"/>
      <c r="K186" s="38" t="n"/>
      <c r="L186" s="24" t="n"/>
    </row>
    <row r="187">
      <c r="B187" s="24" t="n"/>
      <c r="C187" s="24" t="n"/>
      <c r="D187" s="24" t="n"/>
      <c r="E187" s="35" t="n"/>
      <c r="F187" s="36" t="n"/>
      <c r="G187" s="35" t="n"/>
      <c r="H187" s="37" t="n"/>
      <c r="I187" s="36" t="n"/>
      <c r="J187" s="36" t="n"/>
      <c r="K187" s="38" t="n"/>
      <c r="L187" s="24" t="n"/>
    </row>
    <row r="188">
      <c r="B188" s="24" t="n"/>
      <c r="C188" s="24" t="n"/>
      <c r="D188" s="24" t="n"/>
      <c r="E188" s="35" t="n"/>
      <c r="F188" s="36" t="n"/>
      <c r="G188" s="35" t="n"/>
      <c r="H188" s="37" t="n"/>
      <c r="I188" s="36" t="n"/>
      <c r="J188" s="36" t="n"/>
      <c r="K188" s="38" t="n"/>
      <c r="L188" s="24" t="n"/>
    </row>
    <row r="189">
      <c r="B189" s="24" t="n"/>
      <c r="C189" s="24" t="n"/>
      <c r="D189" s="24" t="n"/>
      <c r="E189" s="35" t="n"/>
      <c r="F189" s="36" t="n"/>
      <c r="G189" s="35" t="n"/>
      <c r="H189" s="37" t="n"/>
      <c r="I189" s="36" t="n"/>
      <c r="J189" s="36" t="n"/>
      <c r="K189" s="38" t="n"/>
      <c r="L189" s="24" t="n"/>
    </row>
    <row r="190">
      <c r="B190" s="24" t="n"/>
      <c r="C190" s="24" t="n"/>
      <c r="D190" s="24" t="n"/>
      <c r="E190" s="35" t="n"/>
      <c r="F190" s="36" t="n"/>
      <c r="G190" s="35" t="n"/>
      <c r="H190" s="37" t="n"/>
      <c r="I190" s="36" t="n"/>
      <c r="J190" s="36" t="n"/>
      <c r="K190" s="38" t="n"/>
      <c r="L190" s="24" t="n"/>
    </row>
    <row r="191">
      <c r="B191" s="24" t="n"/>
      <c r="C191" s="24" t="n"/>
      <c r="D191" s="24" t="n"/>
      <c r="E191" s="35" t="n"/>
      <c r="F191" s="36" t="n"/>
      <c r="G191" s="35" t="n"/>
      <c r="H191" s="37" t="n"/>
      <c r="I191" s="36" t="n"/>
      <c r="J191" s="36" t="n"/>
      <c r="K191" s="38" t="n"/>
      <c r="L191" s="24" t="n"/>
    </row>
    <row r="192">
      <c r="B192" s="24" t="n"/>
      <c r="C192" s="24" t="n"/>
      <c r="D192" s="24" t="n"/>
      <c r="E192" s="35" t="n"/>
      <c r="F192" s="36" t="n"/>
      <c r="G192" s="35" t="n"/>
      <c r="H192" s="37" t="n"/>
      <c r="I192" s="36" t="n"/>
      <c r="J192" s="36" t="n"/>
      <c r="K192" s="38" t="n"/>
      <c r="L192" s="24" t="n"/>
    </row>
    <row r="193">
      <c r="B193" s="24" t="n"/>
      <c r="C193" s="24" t="n"/>
      <c r="D193" s="24" t="n"/>
      <c r="E193" s="35" t="n"/>
      <c r="F193" s="36" t="n"/>
      <c r="G193" s="35" t="n"/>
      <c r="H193" s="37" t="n"/>
      <c r="I193" s="36" t="n"/>
      <c r="J193" s="36" t="n"/>
      <c r="K193" s="38" t="n"/>
      <c r="L193" s="24" t="n"/>
    </row>
    <row r="194">
      <c r="B194" s="24" t="n"/>
      <c r="C194" s="24" t="n"/>
      <c r="D194" s="24" t="n"/>
      <c r="E194" s="35" t="n"/>
      <c r="F194" s="36" t="n"/>
      <c r="G194" s="35" t="n"/>
      <c r="H194" s="37" t="n"/>
      <c r="I194" s="36" t="n"/>
      <c r="J194" s="36" t="n"/>
      <c r="K194" s="38" t="n"/>
      <c r="L194" s="24" t="n"/>
    </row>
    <row r="195">
      <c r="B195" s="24" t="n"/>
      <c r="C195" s="24" t="n"/>
      <c r="D195" s="24" t="n"/>
      <c r="E195" s="35" t="n"/>
      <c r="F195" s="36" t="n"/>
      <c r="G195" s="35" t="n"/>
      <c r="H195" s="37" t="n"/>
      <c r="I195" s="36" t="n"/>
      <c r="J195" s="36" t="n"/>
      <c r="K195" s="38" t="n"/>
      <c r="L195" s="24" t="n"/>
    </row>
    <row r="196">
      <c r="B196" s="24" t="n"/>
      <c r="C196" s="24" t="n"/>
      <c r="D196" s="24" t="n"/>
      <c r="E196" s="35" t="n"/>
      <c r="F196" s="36" t="n"/>
      <c r="G196" s="35" t="n"/>
      <c r="H196" s="37" t="n"/>
      <c r="I196" s="36" t="n"/>
      <c r="J196" s="36" t="n"/>
      <c r="K196" s="38" t="n"/>
      <c r="L196" s="24" t="n"/>
    </row>
    <row r="197">
      <c r="B197" s="24" t="n"/>
      <c r="C197" s="24" t="n"/>
      <c r="D197" s="24" t="n"/>
      <c r="E197" s="35" t="n"/>
      <c r="F197" s="36" t="n"/>
      <c r="G197" s="35" t="n"/>
      <c r="H197" s="37" t="n"/>
      <c r="I197" s="36" t="n"/>
      <c r="J197" s="36" t="n"/>
      <c r="K197" s="38" t="n"/>
      <c r="L197" s="24" t="n"/>
    </row>
    <row r="198">
      <c r="B198" s="24" t="n"/>
      <c r="C198" s="24" t="n"/>
      <c r="D198" s="24" t="n"/>
      <c r="E198" s="35" t="n"/>
      <c r="F198" s="36" t="n"/>
      <c r="G198" s="35" t="n"/>
      <c r="H198" s="37" t="n"/>
      <c r="I198" s="36" t="n"/>
      <c r="J198" s="36" t="n"/>
      <c r="K198" s="38" t="n"/>
      <c r="L198" s="24" t="n"/>
    </row>
    <row r="199">
      <c r="B199" s="24" t="n"/>
      <c r="C199" s="24" t="n"/>
      <c r="D199" s="24" t="n"/>
      <c r="E199" s="35" t="n"/>
      <c r="F199" s="36" t="n"/>
      <c r="G199" s="35" t="n"/>
      <c r="H199" s="37" t="n"/>
      <c r="I199" s="36" t="n"/>
      <c r="J199" s="36" t="n"/>
      <c r="K199" s="38" t="n"/>
      <c r="L199" s="24" t="n"/>
    </row>
    <row r="200">
      <c r="B200" s="24" t="n"/>
      <c r="C200" s="24" t="n"/>
      <c r="D200" s="24" t="n"/>
      <c r="E200" s="35" t="n"/>
      <c r="F200" s="36" t="n"/>
      <c r="G200" s="35" t="n"/>
      <c r="H200" s="37" t="n"/>
      <c r="I200" s="36" t="n"/>
      <c r="J200" s="36" t="n"/>
      <c r="K200" s="38" t="n"/>
      <c r="L200" s="24" t="n"/>
    </row>
    <row r="201">
      <c r="B201" s="24" t="n"/>
      <c r="C201" s="24" t="n"/>
      <c r="D201" s="24" t="n"/>
      <c r="E201" s="35" t="n"/>
      <c r="F201" s="36" t="n"/>
      <c r="G201" s="35" t="n"/>
      <c r="H201" s="37" t="n"/>
      <c r="I201" s="36" t="n"/>
      <c r="J201" s="36" t="n"/>
      <c r="K201" s="38" t="n"/>
      <c r="L201" s="24" t="n"/>
    </row>
    <row r="202">
      <c r="B202" s="24" t="n"/>
      <c r="C202" s="24" t="n"/>
      <c r="D202" s="24" t="n"/>
      <c r="E202" s="35" t="n"/>
      <c r="F202" s="36" t="n"/>
      <c r="G202" s="35" t="n"/>
      <c r="H202" s="37" t="n"/>
      <c r="I202" s="36" t="n"/>
      <c r="J202" s="36" t="n"/>
      <c r="K202" s="38" t="n"/>
      <c r="L202" s="24" t="n"/>
    </row>
    <row r="203">
      <c r="B203" s="24" t="n"/>
      <c r="C203" s="24" t="n"/>
      <c r="D203" s="24" t="n"/>
      <c r="E203" s="35" t="n"/>
      <c r="F203" s="36" t="n"/>
      <c r="G203" s="35" t="n"/>
      <c r="H203" s="37" t="n"/>
      <c r="I203" s="36" t="n"/>
      <c r="J203" s="36" t="n"/>
      <c r="K203" s="38" t="n"/>
      <c r="L203" s="24" t="n"/>
    </row>
    <row r="204">
      <c r="B204" s="24" t="n"/>
      <c r="C204" s="24" t="n"/>
      <c r="D204" s="24" t="n"/>
      <c r="E204" s="35" t="n"/>
      <c r="F204" s="36" t="n"/>
      <c r="G204" s="35" t="n"/>
      <c r="H204" s="37" t="n"/>
      <c r="I204" s="36" t="n"/>
      <c r="J204" s="36" t="n"/>
      <c r="K204" s="38" t="n"/>
      <c r="L204" s="24" t="n"/>
    </row>
    <row r="205">
      <c r="B205" s="24" t="n"/>
      <c r="C205" s="24" t="n"/>
      <c r="D205" s="24" t="n"/>
      <c r="E205" s="35" t="n"/>
      <c r="F205" s="36" t="n"/>
      <c r="G205" s="35" t="n"/>
      <c r="H205" s="37" t="n"/>
      <c r="I205" s="36" t="n"/>
      <c r="J205" s="36" t="n"/>
      <c r="K205" s="38" t="n"/>
      <c r="L205" s="24" t="n"/>
    </row>
    <row r="206">
      <c r="B206" s="24" t="n"/>
      <c r="C206" s="24" t="n"/>
      <c r="D206" s="24" t="n"/>
      <c r="E206" s="35" t="n"/>
      <c r="F206" s="36" t="n"/>
      <c r="G206" s="35" t="n"/>
      <c r="H206" s="37" t="n"/>
      <c r="I206" s="36" t="n"/>
      <c r="J206" s="36" t="n"/>
      <c r="K206" s="38" t="n"/>
      <c r="L206" s="24" t="n"/>
    </row>
    <row r="207">
      <c r="B207" s="24" t="n"/>
      <c r="C207" s="24" t="n"/>
      <c r="D207" s="24" t="n"/>
      <c r="E207" s="35" t="n"/>
      <c r="F207" s="36" t="n"/>
      <c r="G207" s="35" t="n"/>
      <c r="H207" s="37" t="n"/>
      <c r="I207" s="36" t="n"/>
      <c r="J207" s="36" t="n"/>
      <c r="K207" s="38" t="n"/>
      <c r="L207" s="24" t="n"/>
    </row>
    <row r="208">
      <c r="B208" s="24" t="n"/>
      <c r="C208" s="24" t="n"/>
      <c r="D208" s="24" t="n"/>
      <c r="E208" s="35" t="n"/>
      <c r="F208" s="36" t="n"/>
      <c r="G208" s="35" t="n"/>
      <c r="H208" s="37" t="n"/>
      <c r="I208" s="36" t="n"/>
      <c r="J208" s="36" t="n"/>
      <c r="K208" s="38" t="n"/>
      <c r="L208" s="24" t="n"/>
    </row>
    <row r="209">
      <c r="B209" s="24" t="n"/>
      <c r="C209" s="24" t="n"/>
      <c r="D209" s="24" t="n"/>
      <c r="E209" s="35" t="n"/>
      <c r="F209" s="36" t="n"/>
      <c r="G209" s="35" t="n"/>
      <c r="H209" s="37" t="n"/>
      <c r="I209" s="36" t="n"/>
      <c r="J209" s="36" t="n"/>
      <c r="K209" s="38" t="n"/>
      <c r="L209" s="24" t="n"/>
    </row>
    <row r="210">
      <c r="B210" s="24" t="n"/>
      <c r="C210" s="24" t="n"/>
      <c r="D210" s="24" t="n"/>
      <c r="E210" s="35" t="n"/>
      <c r="F210" s="36" t="n"/>
      <c r="G210" s="35" t="n"/>
      <c r="H210" s="37" t="n"/>
      <c r="I210" s="36" t="n"/>
      <c r="J210" s="36" t="n"/>
      <c r="K210" s="38" t="n"/>
      <c r="L210" s="24" t="n"/>
    </row>
    <row r="211">
      <c r="B211" s="24" t="n"/>
      <c r="C211" s="24" t="n"/>
      <c r="D211" s="24" t="n"/>
      <c r="E211" s="35" t="n"/>
      <c r="F211" s="36" t="n"/>
      <c r="G211" s="35" t="n"/>
      <c r="H211" s="37" t="n"/>
      <c r="I211" s="36" t="n"/>
      <c r="J211" s="36" t="n"/>
      <c r="K211" s="38" t="n"/>
      <c r="L211" s="24" t="n"/>
    </row>
    <row r="212">
      <c r="B212" s="24" t="n"/>
      <c r="C212" s="24" t="n"/>
      <c r="D212" s="24" t="n"/>
      <c r="E212" s="35" t="n"/>
      <c r="F212" s="36" t="n"/>
      <c r="G212" s="35" t="n"/>
      <c r="H212" s="37" t="n"/>
      <c r="I212" s="36" t="n"/>
      <c r="J212" s="36" t="n"/>
      <c r="K212" s="38" t="n"/>
      <c r="L212" s="24" t="n"/>
    </row>
    <row r="213">
      <c r="B213" s="24" t="n"/>
      <c r="C213" s="24" t="n"/>
      <c r="D213" s="24" t="n"/>
      <c r="E213" s="35" t="n"/>
      <c r="F213" s="36" t="n"/>
      <c r="G213" s="35" t="n"/>
      <c r="H213" s="37" t="n"/>
      <c r="I213" s="36" t="n"/>
      <c r="J213" s="36" t="n"/>
      <c r="K213" s="38" t="n"/>
      <c r="L213" s="24" t="n"/>
    </row>
    <row r="214">
      <c r="B214" s="24" t="n"/>
      <c r="C214" s="24" t="n"/>
      <c r="D214" s="24" t="n"/>
      <c r="E214" s="35" t="n"/>
      <c r="F214" s="36" t="n"/>
      <c r="G214" s="35" t="n"/>
      <c r="H214" s="37" t="n"/>
      <c r="I214" s="36" t="n"/>
      <c r="J214" s="36" t="n"/>
      <c r="K214" s="38" t="n"/>
      <c r="L214" s="24" t="n"/>
    </row>
    <row r="215">
      <c r="B215" s="24" t="n"/>
      <c r="C215" s="24" t="n"/>
      <c r="D215" s="24" t="n"/>
      <c r="E215" s="35" t="n"/>
      <c r="F215" s="36" t="n"/>
      <c r="G215" s="35" t="n"/>
      <c r="H215" s="37" t="n"/>
      <c r="I215" s="36" t="n"/>
      <c r="J215" s="36" t="n"/>
      <c r="K215" s="38" t="n"/>
      <c r="L215" s="24" t="n"/>
    </row>
    <row r="216">
      <c r="B216" s="24" t="n"/>
      <c r="C216" s="24" t="n"/>
      <c r="D216" s="24" t="n"/>
      <c r="E216" s="35" t="n"/>
      <c r="F216" s="36" t="n"/>
      <c r="G216" s="35" t="n"/>
      <c r="H216" s="37" t="n"/>
      <c r="I216" s="36" t="n"/>
      <c r="J216" s="36" t="n"/>
      <c r="K216" s="38" t="n"/>
      <c r="L216" s="24" t="n"/>
    </row>
    <row r="217">
      <c r="B217" s="24" t="n"/>
      <c r="C217" s="24" t="n"/>
      <c r="D217" s="24" t="n"/>
      <c r="E217" s="35" t="n"/>
      <c r="F217" s="36" t="n"/>
      <c r="G217" s="35" t="n"/>
      <c r="H217" s="37" t="n"/>
      <c r="I217" s="36" t="n"/>
      <c r="J217" s="36" t="n"/>
      <c r="K217" s="38" t="n"/>
      <c r="L217" s="24" t="n"/>
    </row>
    <row r="218">
      <c r="B218" s="24" t="n"/>
      <c r="C218" s="24" t="n"/>
      <c r="D218" s="24" t="n"/>
      <c r="E218" s="35" t="n"/>
      <c r="F218" s="36" t="n"/>
      <c r="G218" s="35" t="n"/>
      <c r="H218" s="37" t="n"/>
      <c r="I218" s="36" t="n"/>
      <c r="J218" s="36" t="n"/>
      <c r="K218" s="38" t="n"/>
      <c r="L218" s="24" t="n"/>
    </row>
    <row r="219">
      <c r="B219" s="24" t="n"/>
      <c r="C219" s="24" t="n"/>
      <c r="D219" s="24" t="n"/>
      <c r="E219" s="35" t="n"/>
      <c r="F219" s="36" t="n"/>
      <c r="G219" s="35" t="n"/>
      <c r="H219" s="37" t="n"/>
      <c r="I219" s="36" t="n"/>
      <c r="J219" s="36" t="n"/>
      <c r="K219" s="38" t="n"/>
      <c r="L219" s="24" t="n"/>
    </row>
    <row r="220">
      <c r="B220" s="24" t="n"/>
      <c r="C220" s="24" t="n"/>
      <c r="D220" s="24" t="n"/>
      <c r="E220" s="35" t="n"/>
      <c r="F220" s="36" t="n"/>
      <c r="G220" s="35" t="n"/>
      <c r="H220" s="37" t="n"/>
      <c r="I220" s="36" t="n"/>
      <c r="J220" s="36" t="n"/>
      <c r="K220" s="38" t="n"/>
      <c r="L220" s="24" t="n"/>
    </row>
    <row r="221">
      <c r="B221" s="24" t="n"/>
      <c r="C221" s="24" t="n"/>
      <c r="D221" s="24" t="n"/>
      <c r="E221" s="35" t="n"/>
      <c r="F221" s="36" t="n"/>
      <c r="G221" s="35" t="n"/>
      <c r="H221" s="37" t="n"/>
      <c r="I221" s="36" t="n"/>
      <c r="J221" s="36" t="n"/>
      <c r="K221" s="38" t="n"/>
      <c r="L221" s="24" t="n"/>
    </row>
    <row r="222">
      <c r="B222" s="24" t="n"/>
      <c r="C222" s="24" t="n"/>
      <c r="D222" s="24" t="n"/>
      <c r="E222" s="35" t="n"/>
      <c r="F222" s="36" t="n"/>
      <c r="G222" s="35" t="n"/>
      <c r="H222" s="37" t="n"/>
      <c r="I222" s="36" t="n"/>
      <c r="J222" s="36" t="n"/>
      <c r="K222" s="38" t="n"/>
      <c r="L222" s="24" t="n"/>
    </row>
    <row r="223">
      <c r="B223" s="24" t="n"/>
      <c r="C223" s="24" t="n"/>
      <c r="D223" s="24" t="n"/>
      <c r="E223" s="35" t="n"/>
      <c r="F223" s="36" t="n"/>
      <c r="G223" s="35" t="n"/>
      <c r="H223" s="37" t="n"/>
      <c r="I223" s="36" t="n"/>
      <c r="J223" s="36" t="n"/>
      <c r="K223" s="38" t="n"/>
      <c r="L223" s="24" t="n"/>
    </row>
    <row r="224">
      <c r="B224" s="24" t="n"/>
      <c r="C224" s="24" t="n"/>
      <c r="D224" s="24" t="n"/>
      <c r="E224" s="35" t="n"/>
      <c r="F224" s="36" t="n"/>
      <c r="G224" s="35" t="n"/>
      <c r="H224" s="37" t="n"/>
      <c r="I224" s="36" t="n"/>
      <c r="J224" s="36" t="n"/>
      <c r="K224" s="38" t="n"/>
      <c r="L224" s="24" t="n"/>
    </row>
    <row r="225">
      <c r="B225" s="24" t="n"/>
      <c r="C225" s="24" t="n"/>
      <c r="D225" s="24" t="n"/>
      <c r="E225" s="35" t="n"/>
      <c r="F225" s="36" t="n"/>
      <c r="G225" s="35" t="n"/>
      <c r="H225" s="37" t="n"/>
      <c r="I225" s="36" t="n"/>
      <c r="J225" s="36" t="n"/>
      <c r="K225" s="38" t="n"/>
      <c r="L225" s="24" t="n"/>
    </row>
    <row r="226">
      <c r="B226" s="24" t="n"/>
      <c r="C226" s="24" t="n"/>
      <c r="D226" s="24" t="n"/>
      <c r="E226" s="35" t="n"/>
      <c r="F226" s="36" t="n"/>
      <c r="G226" s="35" t="n"/>
      <c r="H226" s="37" t="n"/>
      <c r="I226" s="36" t="n"/>
      <c r="J226" s="36" t="n"/>
      <c r="K226" s="38" t="n"/>
      <c r="L226" s="24" t="n"/>
    </row>
    <row r="227">
      <c r="B227" s="24" t="n"/>
      <c r="C227" s="24" t="n"/>
      <c r="D227" s="24" t="n"/>
      <c r="E227" s="35" t="n"/>
      <c r="F227" s="36" t="n"/>
      <c r="G227" s="35" t="n"/>
      <c r="H227" s="37" t="n"/>
      <c r="I227" s="36" t="n"/>
      <c r="J227" s="36" t="n"/>
      <c r="K227" s="38" t="n"/>
      <c r="L227" s="24" t="n"/>
    </row>
    <row r="228">
      <c r="B228" s="24" t="n"/>
      <c r="C228" s="24" t="n"/>
      <c r="D228" s="24" t="n"/>
      <c r="E228" s="35" t="n"/>
      <c r="F228" s="36" t="n"/>
      <c r="G228" s="35" t="n"/>
      <c r="H228" s="37" t="n"/>
      <c r="I228" s="36" t="n"/>
      <c r="J228" s="36" t="n"/>
      <c r="K228" s="38" t="n"/>
      <c r="L228" s="24" t="n"/>
    </row>
    <row r="229">
      <c r="B229" s="24" t="n"/>
      <c r="C229" s="24" t="n"/>
      <c r="D229" s="24" t="n"/>
      <c r="E229" s="35" t="n"/>
      <c r="F229" s="36" t="n"/>
      <c r="G229" s="35" t="n"/>
      <c r="H229" s="37" t="n"/>
      <c r="I229" s="36" t="n"/>
      <c r="J229" s="36" t="n"/>
      <c r="K229" s="38" t="n"/>
      <c r="L229" s="24" t="n"/>
    </row>
    <row r="230">
      <c r="B230" s="24" t="n"/>
      <c r="C230" s="24" t="n"/>
      <c r="D230" s="24" t="n"/>
      <c r="E230" s="35" t="n"/>
      <c r="F230" s="36" t="n"/>
      <c r="G230" s="35" t="n"/>
      <c r="H230" s="37" t="n"/>
      <c r="I230" s="36" t="n"/>
      <c r="J230" s="36" t="n"/>
      <c r="K230" s="38" t="n"/>
      <c r="L230" s="24" t="n"/>
    </row>
    <row r="231">
      <c r="B231" s="24" t="n"/>
      <c r="C231" s="24" t="n"/>
      <c r="D231" s="24" t="n"/>
      <c r="E231" s="35" t="n"/>
      <c r="F231" s="36" t="n"/>
      <c r="G231" s="35" t="n"/>
      <c r="H231" s="37" t="n"/>
      <c r="I231" s="36" t="n"/>
      <c r="J231" s="36" t="n"/>
      <c r="K231" s="38" t="n"/>
      <c r="L231" s="24" t="n"/>
    </row>
    <row r="232">
      <c r="B232" s="24" t="n"/>
      <c r="C232" s="24" t="n"/>
      <c r="D232" s="24" t="n"/>
      <c r="E232" s="35" t="n"/>
      <c r="F232" s="36" t="n"/>
      <c r="G232" s="35" t="n"/>
      <c r="H232" s="37" t="n"/>
      <c r="I232" s="36" t="n"/>
      <c r="J232" s="36" t="n"/>
      <c r="K232" s="38" t="n"/>
      <c r="L232" s="24" t="n"/>
    </row>
    <row r="233">
      <c r="B233" s="24" t="n"/>
      <c r="C233" s="24" t="n"/>
      <c r="D233" s="24" t="n"/>
      <c r="E233" s="35" t="n"/>
      <c r="F233" s="36" t="n"/>
      <c r="G233" s="35" t="n"/>
      <c r="H233" s="37" t="n"/>
      <c r="I233" s="36" t="n"/>
      <c r="J233" s="36" t="n"/>
      <c r="K233" s="38" t="n"/>
      <c r="L233" s="24" t="n"/>
    </row>
    <row r="234">
      <c r="B234" s="24" t="n"/>
      <c r="C234" s="24" t="n"/>
      <c r="D234" s="24" t="n"/>
      <c r="E234" s="35" t="n"/>
      <c r="F234" s="36" t="n"/>
      <c r="G234" s="35" t="n"/>
      <c r="H234" s="37" t="n"/>
      <c r="I234" s="36" t="n"/>
      <c r="J234" s="36" t="n"/>
      <c r="K234" s="38" t="n"/>
      <c r="L234" s="24" t="n"/>
    </row>
    <row r="235">
      <c r="B235" s="24" t="n"/>
      <c r="C235" s="24" t="n"/>
      <c r="D235" s="24" t="n"/>
      <c r="E235" s="35" t="n"/>
      <c r="F235" s="36" t="n"/>
      <c r="G235" s="35" t="n"/>
      <c r="H235" s="37" t="n"/>
      <c r="I235" s="36" t="n"/>
      <c r="J235" s="36" t="n"/>
      <c r="K235" s="38" t="n"/>
      <c r="L235" s="24" t="n"/>
    </row>
    <row r="236">
      <c r="B236" s="24" t="n"/>
      <c r="C236" s="24" t="n"/>
      <c r="D236" s="24" t="n"/>
      <c r="E236" s="35" t="n"/>
      <c r="F236" s="36" t="n"/>
      <c r="G236" s="35" t="n"/>
      <c r="H236" s="37" t="n"/>
      <c r="I236" s="36" t="n"/>
      <c r="J236" s="36" t="n"/>
      <c r="K236" s="38" t="n"/>
      <c r="L236" s="24" t="n"/>
    </row>
    <row r="237">
      <c r="B237" s="24" t="n"/>
      <c r="C237" s="24" t="n"/>
      <c r="D237" s="24" t="n"/>
      <c r="E237" s="35" t="n"/>
      <c r="F237" s="36" t="n"/>
      <c r="G237" s="35" t="n"/>
      <c r="H237" s="37" t="n"/>
      <c r="I237" s="36" t="n"/>
      <c r="J237" s="36" t="n"/>
      <c r="K237" s="38" t="n"/>
      <c r="L237" s="24" t="n"/>
    </row>
    <row r="238">
      <c r="B238" s="24" t="n"/>
      <c r="C238" s="24" t="n"/>
      <c r="D238" s="24" t="n"/>
      <c r="E238" s="35" t="n"/>
      <c r="F238" s="36" t="n"/>
      <c r="G238" s="35" t="n"/>
      <c r="H238" s="37" t="n"/>
      <c r="I238" s="36" t="n"/>
      <c r="J238" s="36" t="n"/>
      <c r="K238" s="38" t="n"/>
      <c r="L238" s="24" t="n"/>
    </row>
    <row r="239">
      <c r="B239" s="24" t="n"/>
      <c r="C239" s="24" t="n"/>
      <c r="D239" s="24" t="n"/>
      <c r="E239" s="35" t="n"/>
      <c r="F239" s="36" t="n"/>
      <c r="G239" s="35" t="n"/>
      <c r="H239" s="37" t="n"/>
      <c r="I239" s="36" t="n"/>
      <c r="J239" s="36" t="n"/>
      <c r="K239" s="38" t="n"/>
      <c r="L239" s="24" t="n"/>
    </row>
    <row r="240">
      <c r="B240" s="24" t="n"/>
      <c r="C240" s="24" t="n"/>
      <c r="D240" s="24" t="n"/>
      <c r="E240" s="35" t="n"/>
      <c r="F240" s="36" t="n"/>
      <c r="G240" s="35" t="n"/>
      <c r="H240" s="37" t="n"/>
      <c r="I240" s="36" t="n"/>
      <c r="J240" s="36" t="n"/>
      <c r="K240" s="38" t="n"/>
      <c r="L240" s="24" t="n"/>
    </row>
    <row r="241">
      <c r="B241" s="24" t="n"/>
      <c r="C241" s="24" t="n"/>
      <c r="D241" s="24" t="n"/>
      <c r="E241" s="35" t="n"/>
      <c r="F241" s="36" t="n"/>
      <c r="G241" s="35" t="n"/>
      <c r="H241" s="37" t="n"/>
      <c r="I241" s="36" t="n"/>
      <c r="J241" s="36" t="n"/>
      <c r="K241" s="38" t="n"/>
      <c r="L241" s="24" t="n"/>
    </row>
    <row r="242">
      <c r="B242" s="24" t="n"/>
      <c r="C242" s="24" t="n"/>
      <c r="D242" s="24" t="n"/>
      <c r="E242" s="35" t="n"/>
      <c r="F242" s="36" t="n"/>
      <c r="G242" s="35" t="n"/>
      <c r="H242" s="37" t="n"/>
      <c r="I242" s="36" t="n"/>
      <c r="J242" s="36" t="n"/>
      <c r="K242" s="38" t="n"/>
      <c r="L242" s="24" t="n"/>
    </row>
    <row r="243">
      <c r="B243" s="24" t="n"/>
      <c r="C243" s="24" t="n"/>
      <c r="D243" s="24" t="n"/>
      <c r="E243" s="35" t="n"/>
      <c r="F243" s="36" t="n"/>
      <c r="G243" s="35" t="n"/>
      <c r="H243" s="37" t="n"/>
      <c r="I243" s="36" t="n"/>
      <c r="J243" s="36" t="n"/>
      <c r="K243" s="38" t="n"/>
      <c r="L243" s="24" t="n"/>
    </row>
    <row r="244">
      <c r="B244" s="24" t="n"/>
      <c r="C244" s="24" t="n"/>
      <c r="D244" s="24" t="n"/>
      <c r="E244" s="35" t="n"/>
      <c r="F244" s="36" t="n"/>
      <c r="G244" s="35" t="n"/>
      <c r="H244" s="37" t="n"/>
      <c r="I244" s="36" t="n"/>
      <c r="J244" s="36" t="n"/>
      <c r="K244" s="38" t="n"/>
      <c r="L244" s="24" t="n"/>
    </row>
    <row r="245">
      <c r="B245" s="24" t="n"/>
      <c r="C245" s="24" t="n"/>
      <c r="D245" s="24" t="n"/>
      <c r="E245" s="35" t="n"/>
      <c r="F245" s="36" t="n"/>
      <c r="G245" s="35" t="n"/>
      <c r="H245" s="37" t="n"/>
      <c r="I245" s="36" t="n"/>
      <c r="J245" s="36" t="n"/>
      <c r="K245" s="38" t="n"/>
      <c r="L245" s="24" t="n"/>
    </row>
    <row r="246">
      <c r="B246" s="24" t="n"/>
      <c r="C246" s="24" t="n"/>
      <c r="D246" s="24" t="n"/>
      <c r="E246" s="35" t="n"/>
      <c r="F246" s="36" t="n"/>
      <c r="G246" s="35" t="n"/>
      <c r="H246" s="37" t="n"/>
      <c r="I246" s="36" t="n"/>
      <c r="J246" s="36" t="n"/>
      <c r="K246" s="38" t="n"/>
      <c r="L246" s="24" t="n"/>
    </row>
    <row r="247">
      <c r="B247" s="24" t="n"/>
      <c r="C247" s="24" t="n"/>
      <c r="D247" s="24" t="n"/>
      <c r="E247" s="35" t="n"/>
      <c r="F247" s="36" t="n"/>
      <c r="G247" s="35" t="n"/>
      <c r="H247" s="37" t="n"/>
      <c r="I247" s="36" t="n"/>
      <c r="J247" s="36" t="n"/>
      <c r="K247" s="38" t="n"/>
      <c r="L247" s="24" t="n"/>
    </row>
    <row r="248">
      <c r="B248" s="24" t="n"/>
      <c r="C248" s="24" t="n"/>
      <c r="D248" s="24" t="n"/>
      <c r="E248" s="35" t="n"/>
      <c r="F248" s="36" t="n"/>
      <c r="G248" s="35" t="n"/>
      <c r="H248" s="37" t="n"/>
      <c r="I248" s="36" t="n"/>
      <c r="J248" s="36" t="n"/>
      <c r="K248" s="38" t="n"/>
      <c r="L248" s="24" t="n"/>
    </row>
    <row r="249">
      <c r="B249" s="24" t="n"/>
      <c r="C249" s="24" t="n"/>
      <c r="D249" s="24" t="n"/>
      <c r="E249" s="35" t="n"/>
      <c r="F249" s="36" t="n"/>
      <c r="G249" s="35" t="n"/>
      <c r="H249" s="37" t="n"/>
      <c r="I249" s="36" t="n"/>
      <c r="J249" s="36" t="n"/>
      <c r="K249" s="38" t="n"/>
      <c r="L249" s="24" t="n"/>
    </row>
    <row r="250">
      <c r="B250" s="24" t="n"/>
      <c r="C250" s="24" t="n"/>
      <c r="D250" s="24" t="n"/>
      <c r="E250" s="35" t="n"/>
      <c r="F250" s="36" t="n"/>
      <c r="G250" s="35" t="n"/>
      <c r="H250" s="37" t="n"/>
      <c r="I250" s="36" t="n"/>
      <c r="J250" s="36" t="n"/>
      <c r="K250" s="38" t="n"/>
      <c r="L250" s="24" t="n"/>
    </row>
    <row r="251">
      <c r="B251" s="24" t="n"/>
      <c r="C251" s="24" t="n"/>
      <c r="D251" s="24" t="n"/>
      <c r="E251" s="35" t="n"/>
      <c r="F251" s="36" t="n"/>
      <c r="G251" s="35" t="n"/>
      <c r="H251" s="37" t="n"/>
      <c r="I251" s="36" t="n"/>
      <c r="J251" s="36" t="n"/>
      <c r="K251" s="38" t="n"/>
      <c r="L251" s="24" t="n"/>
    </row>
    <row r="252">
      <c r="B252" s="24" t="n"/>
      <c r="C252" s="24" t="n"/>
      <c r="D252" s="24" t="n"/>
      <c r="E252" s="35" t="n"/>
      <c r="F252" s="36" t="n"/>
      <c r="G252" s="35" t="n"/>
      <c r="H252" s="37" t="n"/>
      <c r="I252" s="36" t="n"/>
      <c r="J252" s="36" t="n"/>
      <c r="K252" s="38" t="n"/>
      <c r="L252" s="24" t="n"/>
    </row>
    <row r="253">
      <c r="B253" s="24" t="n"/>
      <c r="C253" s="24" t="n"/>
      <c r="D253" s="24" t="n"/>
      <c r="E253" s="35" t="n"/>
      <c r="F253" s="36" t="n"/>
      <c r="G253" s="35" t="n"/>
      <c r="H253" s="37" t="n"/>
      <c r="I253" s="36" t="n"/>
      <c r="J253" s="36" t="n"/>
      <c r="K253" s="38" t="n"/>
      <c r="L253" s="24" t="n"/>
    </row>
    <row r="254">
      <c r="B254" s="24" t="n"/>
      <c r="C254" s="24" t="n"/>
      <c r="D254" s="24" t="n"/>
      <c r="E254" s="35" t="n"/>
      <c r="F254" s="36" t="n"/>
      <c r="G254" s="35" t="n"/>
      <c r="H254" s="37" t="n"/>
      <c r="I254" s="36" t="n"/>
      <c r="J254" s="36" t="n"/>
      <c r="K254" s="38" t="n"/>
      <c r="L254" s="24" t="n"/>
    </row>
    <row r="255">
      <c r="B255" s="24" t="n"/>
      <c r="C255" s="24" t="n"/>
      <c r="D255" s="24" t="n"/>
      <c r="E255" s="35" t="n"/>
      <c r="F255" s="36" t="n"/>
      <c r="G255" s="35" t="n"/>
      <c r="H255" s="37" t="n"/>
      <c r="I255" s="36" t="n"/>
      <c r="J255" s="36" t="n"/>
      <c r="K255" s="38" t="n"/>
      <c r="L255" s="24" t="n"/>
    </row>
    <row r="256">
      <c r="B256" s="24" t="n"/>
      <c r="C256" s="24" t="n"/>
      <c r="D256" s="24" t="n"/>
      <c r="E256" s="35" t="n"/>
      <c r="F256" s="36" t="n"/>
      <c r="G256" s="35" t="n"/>
      <c r="H256" s="37" t="n"/>
      <c r="I256" s="36" t="n"/>
      <c r="J256" s="36" t="n"/>
      <c r="K256" s="38" t="n"/>
      <c r="L256" s="24" t="n"/>
    </row>
    <row r="257">
      <c r="B257" s="24" t="n"/>
      <c r="C257" s="24" t="n"/>
      <c r="D257" s="24" t="n"/>
      <c r="E257" s="35" t="n"/>
      <c r="F257" s="36" t="n"/>
      <c r="G257" s="35" t="n"/>
      <c r="H257" s="37" t="n"/>
      <c r="I257" s="36" t="n"/>
      <c r="J257" s="36" t="n"/>
      <c r="K257" s="38" t="n"/>
      <c r="L257" s="24" t="n"/>
    </row>
    <row r="258">
      <c r="B258" s="24" t="n"/>
      <c r="C258" s="24" t="n"/>
      <c r="D258" s="24" t="n"/>
      <c r="E258" s="35" t="n"/>
      <c r="F258" s="36" t="n"/>
      <c r="G258" s="35" t="n"/>
      <c r="H258" s="37" t="n"/>
      <c r="I258" s="36" t="n"/>
      <c r="J258" s="36" t="n"/>
      <c r="K258" s="38" t="n"/>
      <c r="L258" s="24" t="n"/>
    </row>
    <row r="259">
      <c r="B259" s="24" t="n"/>
      <c r="C259" s="24" t="n"/>
      <c r="D259" s="24" t="n"/>
      <c r="E259" s="35" t="n"/>
      <c r="F259" s="36" t="n"/>
      <c r="G259" s="35" t="n"/>
      <c r="H259" s="37" t="n"/>
      <c r="I259" s="36" t="n"/>
      <c r="J259" s="36" t="n"/>
      <c r="K259" s="38" t="n"/>
      <c r="L259" s="24" t="n"/>
    </row>
    <row r="260">
      <c r="B260" s="24" t="n"/>
      <c r="C260" s="24" t="n"/>
      <c r="D260" s="24" t="n"/>
      <c r="E260" s="35" t="n"/>
      <c r="F260" s="36" t="n"/>
      <c r="G260" s="35" t="n"/>
      <c r="H260" s="37" t="n"/>
      <c r="I260" s="36" t="n"/>
      <c r="J260" s="36" t="n"/>
      <c r="K260" s="38" t="n"/>
      <c r="L260" s="24" t="n"/>
    </row>
    <row r="261">
      <c r="B261" s="24" t="n"/>
      <c r="C261" s="24" t="n"/>
      <c r="D261" s="24" t="n"/>
      <c r="E261" s="35" t="n"/>
      <c r="F261" s="36" t="n"/>
      <c r="G261" s="35" t="n"/>
      <c r="H261" s="37" t="n"/>
      <c r="I261" s="36" t="n"/>
      <c r="J261" s="36" t="n"/>
      <c r="K261" s="38" t="n"/>
      <c r="L261" s="24" t="n"/>
    </row>
    <row r="262">
      <c r="B262" s="24" t="n"/>
      <c r="C262" s="24" t="n"/>
      <c r="D262" s="24" t="n"/>
      <c r="E262" s="35" t="n"/>
      <c r="F262" s="36" t="n"/>
      <c r="G262" s="35" t="n"/>
      <c r="H262" s="37" t="n"/>
      <c r="I262" s="36" t="n"/>
      <c r="J262" s="36" t="n"/>
      <c r="K262" s="38" t="n"/>
      <c r="L262" s="24" t="n"/>
    </row>
    <row r="263">
      <c r="B263" s="24" t="n"/>
      <c r="C263" s="24" t="n"/>
      <c r="D263" s="24" t="n"/>
      <c r="E263" s="35" t="n"/>
      <c r="F263" s="36" t="n"/>
      <c r="G263" s="35" t="n"/>
      <c r="H263" s="37" t="n"/>
      <c r="I263" s="36" t="n"/>
      <c r="J263" s="36" t="n"/>
      <c r="K263" s="38" t="n"/>
      <c r="L263" s="24" t="n"/>
    </row>
    <row r="264">
      <c r="B264" s="24" t="n"/>
      <c r="C264" s="24" t="n"/>
      <c r="D264" s="24" t="n"/>
      <c r="E264" s="35" t="n"/>
      <c r="F264" s="36" t="n"/>
      <c r="G264" s="35" t="n"/>
      <c r="H264" s="37" t="n"/>
      <c r="I264" s="36" t="n"/>
      <c r="J264" s="36" t="n"/>
      <c r="K264" s="38" t="n"/>
      <c r="L264" s="24" t="n"/>
    </row>
    <row r="265">
      <c r="B265" s="24" t="n"/>
      <c r="C265" s="24" t="n"/>
      <c r="D265" s="24" t="n"/>
      <c r="E265" s="35" t="n"/>
      <c r="F265" s="36" t="n"/>
      <c r="G265" s="35" t="n"/>
      <c r="H265" s="37" t="n"/>
      <c r="I265" s="36" t="n"/>
      <c r="J265" s="36" t="n"/>
      <c r="K265" s="38" t="n"/>
      <c r="L265" s="24" t="n"/>
    </row>
    <row r="266">
      <c r="B266" s="24" t="n"/>
      <c r="C266" s="24" t="n"/>
      <c r="D266" s="24" t="n"/>
      <c r="E266" s="35" t="n"/>
      <c r="F266" s="36" t="n"/>
      <c r="G266" s="35" t="n"/>
      <c r="H266" s="37" t="n"/>
      <c r="I266" s="36" t="n"/>
      <c r="J266" s="36" t="n"/>
      <c r="K266" s="38" t="n"/>
      <c r="L266" s="24" t="n"/>
    </row>
    <row r="267">
      <c r="B267" s="24" t="n"/>
      <c r="C267" s="24" t="n"/>
      <c r="D267" s="24" t="n"/>
      <c r="E267" s="35" t="n"/>
      <c r="F267" s="36" t="n"/>
      <c r="G267" s="35" t="n"/>
      <c r="H267" s="37" t="n"/>
      <c r="I267" s="36" t="n"/>
      <c r="J267" s="36" t="n"/>
      <c r="K267" s="38" t="n"/>
      <c r="L267" s="24" t="n"/>
    </row>
    <row r="268">
      <c r="B268" s="24" t="n"/>
      <c r="C268" s="24" t="n"/>
      <c r="D268" s="24" t="n"/>
      <c r="E268" s="35" t="n"/>
      <c r="F268" s="36" t="n"/>
      <c r="G268" s="35" t="n"/>
      <c r="H268" s="37" t="n"/>
      <c r="I268" s="36" t="n"/>
      <c r="J268" s="36" t="n"/>
      <c r="K268" s="38" t="n"/>
      <c r="L268" s="24" t="n"/>
    </row>
    <row r="269">
      <c r="B269" s="24" t="n"/>
      <c r="C269" s="24" t="n"/>
      <c r="D269" s="24" t="n"/>
      <c r="E269" s="35" t="n"/>
      <c r="F269" s="36" t="n"/>
      <c r="G269" s="35" t="n"/>
      <c r="H269" s="37" t="n"/>
      <c r="I269" s="36" t="n"/>
      <c r="J269" s="36" t="n"/>
      <c r="K269" s="38" t="n"/>
      <c r="L269" s="24" t="n"/>
    </row>
    <row r="270">
      <c r="B270" s="24" t="n"/>
      <c r="C270" s="24" t="n"/>
      <c r="D270" s="24" t="n"/>
      <c r="E270" s="35" t="n"/>
      <c r="F270" s="36" t="n"/>
      <c r="G270" s="35" t="n"/>
      <c r="H270" s="37" t="n"/>
      <c r="I270" s="36" t="n"/>
      <c r="J270" s="36" t="n"/>
      <c r="K270" s="38" t="n"/>
      <c r="L270" s="24" t="n"/>
    </row>
    <row r="271">
      <c r="B271" s="24" t="n"/>
      <c r="C271" s="24" t="n"/>
      <c r="D271" s="24" t="n"/>
      <c r="E271" s="35" t="n"/>
      <c r="F271" s="36" t="n"/>
      <c r="G271" s="35" t="n"/>
      <c r="H271" s="37" t="n"/>
      <c r="I271" s="36" t="n"/>
      <c r="J271" s="36" t="n"/>
      <c r="K271" s="38" t="n"/>
      <c r="L271" s="24" t="n"/>
    </row>
    <row r="272">
      <c r="B272" s="24" t="n"/>
      <c r="C272" s="24" t="n"/>
      <c r="D272" s="24" t="n"/>
      <c r="E272" s="35" t="n"/>
      <c r="F272" s="36" t="n"/>
      <c r="G272" s="35" t="n"/>
      <c r="H272" s="37" t="n"/>
      <c r="I272" s="36" t="n"/>
      <c r="J272" s="36" t="n"/>
      <c r="K272" s="38" t="n"/>
      <c r="L272" s="24" t="n"/>
    </row>
    <row r="273">
      <c r="B273" s="24" t="n"/>
      <c r="C273" s="24" t="n"/>
      <c r="D273" s="24" t="n"/>
      <c r="E273" s="35" t="n"/>
      <c r="F273" s="36" t="n"/>
      <c r="G273" s="35" t="n"/>
      <c r="H273" s="37" t="n"/>
      <c r="I273" s="36" t="n"/>
      <c r="J273" s="36" t="n"/>
      <c r="K273" s="38" t="n"/>
      <c r="L273" s="24" t="n"/>
    </row>
    <row r="274">
      <c r="B274" s="24" t="n"/>
      <c r="C274" s="24" t="n"/>
      <c r="D274" s="24" t="n"/>
      <c r="E274" s="35" t="n"/>
      <c r="F274" s="36" t="n"/>
      <c r="G274" s="35" t="n"/>
      <c r="H274" s="37" t="n"/>
      <c r="I274" s="36" t="n"/>
      <c r="J274" s="36" t="n"/>
      <c r="K274" s="38" t="n"/>
      <c r="L274" s="24" t="n"/>
    </row>
    <row r="275">
      <c r="B275" s="24" t="n"/>
      <c r="C275" s="24" t="n"/>
      <c r="D275" s="24" t="n"/>
      <c r="E275" s="35" t="n"/>
      <c r="F275" s="36" t="n"/>
      <c r="G275" s="35" t="n"/>
      <c r="H275" s="37" t="n"/>
      <c r="I275" s="36" t="n"/>
      <c r="J275" s="36" t="n"/>
      <c r="K275" s="38" t="n"/>
      <c r="L275" s="24" t="n"/>
    </row>
    <row r="276">
      <c r="B276" s="24" t="n"/>
      <c r="C276" s="24" t="n"/>
      <c r="D276" s="24" t="n"/>
      <c r="E276" s="35" t="n"/>
      <c r="F276" s="36" t="n"/>
      <c r="G276" s="35" t="n"/>
      <c r="H276" s="37" t="n"/>
      <c r="I276" s="36" t="n"/>
      <c r="J276" s="36" t="n"/>
      <c r="K276" s="38" t="n"/>
      <c r="L276" s="24" t="n"/>
    </row>
    <row r="277">
      <c r="B277" s="24" t="n"/>
      <c r="C277" s="24" t="n"/>
      <c r="D277" s="24" t="n"/>
      <c r="E277" s="35" t="n"/>
      <c r="F277" s="36" t="n"/>
      <c r="G277" s="35" t="n"/>
      <c r="H277" s="37" t="n"/>
      <c r="I277" s="36" t="n"/>
      <c r="J277" s="36" t="n"/>
      <c r="K277" s="38" t="n"/>
      <c r="L277" s="24" t="n"/>
    </row>
    <row r="278">
      <c r="B278" s="24" t="n"/>
      <c r="C278" s="24" t="n"/>
      <c r="D278" s="24" t="n"/>
      <c r="E278" s="35" t="n"/>
      <c r="F278" s="36" t="n"/>
      <c r="G278" s="35" t="n"/>
      <c r="H278" s="37" t="n"/>
      <c r="I278" s="36" t="n"/>
      <c r="J278" s="36" t="n"/>
      <c r="K278" s="38" t="n"/>
      <c r="L278" s="24" t="n"/>
    </row>
    <row r="279">
      <c r="B279" s="24" t="n"/>
      <c r="C279" s="24" t="n"/>
      <c r="D279" s="24" t="n"/>
      <c r="E279" s="35" t="n"/>
      <c r="F279" s="36" t="n"/>
      <c r="G279" s="35" t="n"/>
      <c r="H279" s="37" t="n"/>
      <c r="I279" s="36" t="n"/>
      <c r="J279" s="36" t="n"/>
      <c r="K279" s="38" t="n"/>
      <c r="L279" s="24" t="n"/>
    </row>
    <row r="280">
      <c r="B280" s="24" t="n"/>
      <c r="C280" s="24" t="n"/>
      <c r="D280" s="24" t="n"/>
      <c r="E280" s="35" t="n"/>
      <c r="F280" s="36" t="n"/>
      <c r="G280" s="35" t="n"/>
      <c r="H280" s="37" t="n"/>
      <c r="I280" s="36" t="n"/>
      <c r="J280" s="36" t="n"/>
      <c r="K280" s="38" t="n"/>
      <c r="L280" s="24" t="n"/>
    </row>
    <row r="281">
      <c r="B281" s="24" t="n"/>
      <c r="C281" s="24" t="n"/>
      <c r="D281" s="24" t="n"/>
      <c r="E281" s="35" t="n"/>
      <c r="F281" s="36" t="n"/>
      <c r="G281" s="35" t="n"/>
      <c r="H281" s="37" t="n"/>
      <c r="I281" s="36" t="n"/>
      <c r="J281" s="36" t="n"/>
      <c r="K281" s="38" t="n"/>
      <c r="L281" s="24" t="n"/>
    </row>
    <row r="282">
      <c r="B282" s="24" t="n"/>
      <c r="C282" s="24" t="n"/>
      <c r="D282" s="24" t="n"/>
      <c r="E282" s="35" t="n"/>
      <c r="F282" s="36" t="n"/>
      <c r="G282" s="35" t="n"/>
      <c r="H282" s="37" t="n"/>
      <c r="I282" s="36" t="n"/>
      <c r="J282" s="36" t="n"/>
      <c r="K282" s="38" t="n"/>
      <c r="L282" s="24" t="n"/>
    </row>
    <row r="283">
      <c r="B283" s="24" t="n"/>
      <c r="C283" s="24" t="n"/>
      <c r="D283" s="24" t="n"/>
      <c r="E283" s="35" t="n"/>
      <c r="F283" s="36" t="n"/>
      <c r="G283" s="35" t="n"/>
      <c r="H283" s="37" t="n"/>
      <c r="I283" s="36" t="n"/>
      <c r="J283" s="36" t="n"/>
      <c r="K283" s="38" t="n"/>
      <c r="L283" s="24" t="n"/>
    </row>
    <row r="284">
      <c r="B284" s="24" t="n"/>
      <c r="C284" s="24" t="n"/>
      <c r="D284" s="24" t="n"/>
      <c r="E284" s="35" t="n"/>
      <c r="F284" s="36" t="n"/>
      <c r="G284" s="35" t="n"/>
      <c r="H284" s="37" t="n"/>
      <c r="I284" s="36" t="n"/>
      <c r="J284" s="36" t="n"/>
      <c r="K284" s="38" t="n"/>
      <c r="L284" s="24" t="n"/>
    </row>
    <row r="285">
      <c r="B285" s="24" t="n"/>
      <c r="C285" s="24" t="n"/>
      <c r="D285" s="24" t="n"/>
      <c r="E285" s="35" t="n"/>
      <c r="F285" s="36" t="n"/>
      <c r="G285" s="35" t="n"/>
      <c r="H285" s="37" t="n"/>
      <c r="I285" s="36" t="n"/>
      <c r="J285" s="36" t="n"/>
      <c r="K285" s="38" t="n"/>
      <c r="L285" s="24" t="n"/>
    </row>
    <row r="286">
      <c r="B286" s="24" t="n"/>
      <c r="C286" s="24" t="n"/>
      <c r="D286" s="24" t="n"/>
      <c r="E286" s="35" t="n"/>
      <c r="F286" s="36" t="n"/>
      <c r="G286" s="35" t="n"/>
      <c r="H286" s="37" t="n"/>
      <c r="I286" s="36" t="n"/>
      <c r="J286" s="36" t="n"/>
      <c r="K286" s="38" t="n"/>
      <c r="L286" s="24" t="n"/>
    </row>
    <row r="287">
      <c r="B287" s="24" t="n"/>
      <c r="C287" s="24" t="n"/>
      <c r="D287" s="24" t="n"/>
      <c r="E287" s="35" t="n"/>
      <c r="F287" s="36" t="n"/>
      <c r="G287" s="35" t="n"/>
      <c r="H287" s="37" t="n"/>
      <c r="I287" s="36" t="n"/>
      <c r="J287" s="36" t="n"/>
      <c r="K287" s="38" t="n"/>
      <c r="L287" s="24" t="n"/>
    </row>
    <row r="288">
      <c r="B288" s="24" t="n"/>
      <c r="C288" s="24" t="n"/>
      <c r="D288" s="24" t="n"/>
      <c r="E288" s="35" t="n"/>
      <c r="F288" s="36" t="n"/>
      <c r="G288" s="35" t="n"/>
      <c r="H288" s="37" t="n"/>
      <c r="I288" s="36" t="n"/>
      <c r="J288" s="36" t="n"/>
      <c r="K288" s="38" t="n"/>
      <c r="L288" s="24" t="n"/>
    </row>
    <row r="289">
      <c r="B289" s="24" t="n"/>
      <c r="C289" s="24" t="n"/>
      <c r="D289" s="24" t="n"/>
      <c r="E289" s="35" t="n"/>
      <c r="F289" s="36" t="n"/>
      <c r="G289" s="35" t="n"/>
      <c r="H289" s="37" t="n"/>
      <c r="I289" s="36" t="n"/>
      <c r="J289" s="36" t="n"/>
      <c r="K289" s="38" t="n"/>
      <c r="L289" s="24" t="n"/>
    </row>
    <row r="290">
      <c r="B290" s="24" t="n"/>
      <c r="C290" s="24" t="n"/>
      <c r="D290" s="24" t="n"/>
      <c r="E290" s="35" t="n"/>
      <c r="F290" s="36" t="n"/>
      <c r="G290" s="35" t="n"/>
      <c r="H290" s="37" t="n"/>
      <c r="I290" s="36" t="n"/>
      <c r="J290" s="36" t="n"/>
      <c r="K290" s="38" t="n"/>
      <c r="L290" s="24" t="n"/>
    </row>
    <row r="291">
      <c r="B291" s="24" t="n"/>
      <c r="C291" s="24" t="n"/>
      <c r="D291" s="24" t="n"/>
      <c r="E291" s="35" t="n"/>
      <c r="F291" s="36" t="n"/>
      <c r="G291" s="35" t="n"/>
      <c r="H291" s="37" t="n"/>
      <c r="I291" s="36" t="n"/>
      <c r="J291" s="36" t="n"/>
      <c r="K291" s="38" t="n"/>
      <c r="L291" s="24" t="n"/>
    </row>
    <row r="292">
      <c r="B292" s="24" t="n"/>
      <c r="C292" s="24" t="n"/>
      <c r="D292" s="24" t="n"/>
      <c r="E292" s="35" t="n"/>
      <c r="F292" s="36" t="n"/>
      <c r="G292" s="35" t="n"/>
      <c r="H292" s="37" t="n"/>
      <c r="I292" s="36" t="n"/>
      <c r="J292" s="36" t="n"/>
      <c r="K292" s="38" t="n"/>
      <c r="L292" s="24" t="n"/>
    </row>
    <row r="293">
      <c r="B293" s="24" t="n"/>
      <c r="C293" s="24" t="n"/>
      <c r="D293" s="24" t="n"/>
      <c r="E293" s="35" t="n"/>
      <c r="F293" s="36" t="n"/>
      <c r="G293" s="35" t="n"/>
      <c r="H293" s="37" t="n"/>
      <c r="I293" s="36" t="n"/>
      <c r="J293" s="36" t="n"/>
      <c r="K293" s="38" t="n"/>
      <c r="L293" s="24" t="n"/>
    </row>
    <row r="294">
      <c r="B294" s="24" t="n"/>
      <c r="C294" s="24" t="n"/>
      <c r="D294" s="24" t="n"/>
      <c r="E294" s="35" t="n"/>
      <c r="F294" s="36" t="n"/>
      <c r="G294" s="35" t="n"/>
      <c r="H294" s="37" t="n"/>
      <c r="I294" s="36" t="n"/>
      <c r="J294" s="36" t="n"/>
      <c r="K294" s="38" t="n"/>
      <c r="L294" s="24" t="n"/>
    </row>
    <row r="295">
      <c r="B295" s="24" t="n"/>
      <c r="C295" s="24" t="n"/>
      <c r="D295" s="24" t="n"/>
      <c r="E295" s="35" t="n"/>
      <c r="F295" s="36" t="n"/>
      <c r="G295" s="35" t="n"/>
      <c r="H295" s="37" t="n"/>
      <c r="I295" s="36" t="n"/>
      <c r="J295" s="36" t="n"/>
      <c r="K295" s="38" t="n"/>
      <c r="L295" s="24" t="n"/>
    </row>
    <row r="296">
      <c r="B296" s="24" t="n"/>
      <c r="C296" s="24" t="n"/>
      <c r="D296" s="24" t="n"/>
      <c r="E296" s="35" t="n"/>
      <c r="F296" s="36" t="n"/>
      <c r="G296" s="35" t="n"/>
      <c r="H296" s="37" t="n"/>
      <c r="I296" s="36" t="n"/>
      <c r="J296" s="36" t="n"/>
      <c r="K296" s="38" t="n"/>
      <c r="L296" s="24" t="n"/>
    </row>
    <row r="297">
      <c r="B297" s="24" t="n"/>
      <c r="C297" s="24" t="n"/>
      <c r="D297" s="24" t="n"/>
      <c r="E297" s="35" t="n"/>
      <c r="F297" s="36" t="n"/>
      <c r="G297" s="35" t="n"/>
      <c r="H297" s="37" t="n"/>
      <c r="I297" s="36" t="n"/>
      <c r="J297" s="36" t="n"/>
      <c r="K297" s="38" t="n"/>
      <c r="L297" s="24" t="n"/>
    </row>
    <row r="298">
      <c r="B298" s="24" t="n"/>
      <c r="C298" s="24" t="n"/>
      <c r="D298" s="24" t="n"/>
      <c r="E298" s="35" t="n"/>
      <c r="F298" s="36" t="n"/>
      <c r="G298" s="35" t="n"/>
      <c r="H298" s="37" t="n"/>
      <c r="I298" s="36" t="n"/>
      <c r="J298" s="36" t="n"/>
      <c r="K298" s="38" t="n"/>
      <c r="L298" s="24" t="n"/>
    </row>
    <row r="299">
      <c r="B299" s="24" t="n"/>
      <c r="C299" s="24" t="n"/>
      <c r="D299" s="24" t="n"/>
      <c r="E299" s="35" t="n"/>
      <c r="F299" s="36" t="n"/>
      <c r="G299" s="35" t="n"/>
      <c r="H299" s="37" t="n"/>
      <c r="I299" s="36" t="n"/>
      <c r="J299" s="36" t="n"/>
      <c r="K299" s="38" t="n"/>
      <c r="L299" s="24" t="n"/>
    </row>
    <row r="300">
      <c r="B300" s="24" t="n"/>
      <c r="C300" s="24" t="n"/>
      <c r="D300" s="24" t="n"/>
      <c r="E300" s="35" t="n"/>
      <c r="F300" s="36" t="n"/>
      <c r="G300" s="35" t="n"/>
      <c r="H300" s="37" t="n"/>
      <c r="I300" s="36" t="n"/>
      <c r="J300" s="36" t="n"/>
      <c r="K300" s="38" t="n"/>
      <c r="L300" s="24" t="n"/>
    </row>
    <row r="301">
      <c r="B301" s="24" t="n"/>
      <c r="C301" s="24" t="n"/>
      <c r="D301" s="24" t="n"/>
      <c r="E301" s="35" t="n"/>
      <c r="F301" s="36" t="n"/>
      <c r="G301" s="35" t="n"/>
      <c r="H301" s="37" t="n"/>
      <c r="I301" s="36" t="n"/>
      <c r="J301" s="36" t="n"/>
      <c r="K301" s="38" t="n"/>
      <c r="L301" s="24" t="n"/>
    </row>
    <row r="302">
      <c r="B302" s="24" t="n"/>
      <c r="C302" s="24" t="n"/>
      <c r="D302" s="24" t="n"/>
      <c r="E302" s="35" t="n"/>
      <c r="F302" s="36" t="n"/>
      <c r="G302" s="35" t="n"/>
      <c r="H302" s="37" t="n"/>
      <c r="I302" s="36" t="n"/>
      <c r="J302" s="36" t="n"/>
      <c r="K302" s="38" t="n"/>
      <c r="L302" s="24" t="n"/>
    </row>
    <row r="303">
      <c r="B303" s="24" t="n"/>
      <c r="C303" s="24" t="n"/>
      <c r="D303" s="24" t="n"/>
      <c r="E303" s="35" t="n"/>
      <c r="F303" s="36" t="n"/>
      <c r="G303" s="35" t="n"/>
      <c r="H303" s="37" t="n"/>
      <c r="I303" s="36" t="n"/>
      <c r="J303" s="36" t="n"/>
      <c r="K303" s="38" t="n"/>
      <c r="L303" s="24" t="n"/>
    </row>
    <row r="304">
      <c r="B304" s="24" t="n"/>
      <c r="C304" s="24" t="n"/>
      <c r="D304" s="24" t="n"/>
      <c r="E304" s="35" t="n"/>
      <c r="F304" s="36" t="n"/>
      <c r="G304" s="35" t="n"/>
      <c r="H304" s="37" t="n"/>
      <c r="I304" s="36" t="n"/>
      <c r="J304" s="36" t="n"/>
      <c r="K304" s="38" t="n"/>
      <c r="L304" s="24" t="n"/>
    </row>
    <row r="305">
      <c r="B305" s="24" t="n"/>
      <c r="C305" s="24" t="n"/>
      <c r="D305" s="24" t="n"/>
      <c r="E305" s="35" t="n"/>
      <c r="F305" s="36" t="n"/>
      <c r="G305" s="35" t="n"/>
      <c r="H305" s="37" t="n"/>
      <c r="I305" s="36" t="n"/>
      <c r="J305" s="36" t="n"/>
      <c r="K305" s="38" t="n"/>
      <c r="L305" s="24" t="n"/>
    </row>
    <row r="306">
      <c r="B306" s="24" t="n"/>
      <c r="C306" s="24" t="n"/>
      <c r="D306" s="24" t="n"/>
      <c r="E306" s="35" t="n"/>
      <c r="F306" s="36" t="n"/>
      <c r="G306" s="35" t="n"/>
      <c r="H306" s="37" t="n"/>
      <c r="I306" s="36" t="n"/>
      <c r="J306" s="36" t="n"/>
      <c r="K306" s="38" t="n"/>
      <c r="L306" s="24" t="n"/>
    </row>
    <row r="307">
      <c r="B307" s="24" t="n"/>
      <c r="C307" s="24" t="n"/>
      <c r="D307" s="24" t="n"/>
      <c r="E307" s="35" t="n"/>
      <c r="F307" s="36" t="n"/>
      <c r="G307" s="35" t="n"/>
      <c r="H307" s="37" t="n"/>
      <c r="I307" s="36" t="n"/>
      <c r="J307" s="36" t="n"/>
      <c r="K307" s="38" t="n"/>
      <c r="L307" s="24" t="n"/>
    </row>
    <row r="308">
      <c r="B308" s="24" t="n"/>
      <c r="C308" s="24" t="n"/>
      <c r="D308" s="24" t="n"/>
      <c r="E308" s="35" t="n"/>
      <c r="F308" s="36" t="n"/>
      <c r="G308" s="35" t="n"/>
      <c r="H308" s="37" t="n"/>
      <c r="I308" s="36" t="n"/>
      <c r="J308" s="36" t="n"/>
      <c r="K308" s="38" t="n"/>
      <c r="L308" s="24" t="n"/>
    </row>
    <row r="309">
      <c r="B309" s="24" t="n"/>
      <c r="C309" s="24" t="n"/>
      <c r="D309" s="24" t="n"/>
      <c r="E309" s="35" t="n"/>
      <c r="F309" s="36" t="n"/>
      <c r="G309" s="35" t="n"/>
      <c r="H309" s="37" t="n"/>
      <c r="I309" s="36" t="n"/>
      <c r="J309" s="36" t="n"/>
      <c r="K309" s="38" t="n"/>
      <c r="L309" s="24" t="n"/>
    </row>
    <row r="310">
      <c r="B310" s="24" t="n"/>
      <c r="C310" s="24" t="n"/>
      <c r="D310" s="24" t="n"/>
      <c r="E310" s="35" t="n"/>
      <c r="F310" s="36" t="n"/>
      <c r="G310" s="35" t="n"/>
      <c r="H310" s="37" t="n"/>
      <c r="I310" s="36" t="n"/>
      <c r="J310" s="36" t="n"/>
      <c r="K310" s="38" t="n"/>
      <c r="L310" s="24" t="n"/>
    </row>
    <row r="311">
      <c r="B311" s="24" t="n"/>
      <c r="C311" s="24" t="n"/>
      <c r="D311" s="24" t="n"/>
      <c r="E311" s="35" t="n"/>
      <c r="F311" s="36" t="n"/>
      <c r="G311" s="35" t="n"/>
      <c r="H311" s="37" t="n"/>
      <c r="I311" s="36" t="n"/>
      <c r="J311" s="36" t="n"/>
      <c r="K311" s="38" t="n"/>
      <c r="L311" s="24" t="n"/>
    </row>
    <row r="312">
      <c r="B312" s="24" t="n"/>
      <c r="C312" s="24" t="n"/>
      <c r="D312" s="24" t="n"/>
      <c r="E312" s="35" t="n"/>
      <c r="F312" s="36" t="n"/>
      <c r="G312" s="35" t="n"/>
      <c r="H312" s="37" t="n"/>
      <c r="I312" s="36" t="n"/>
      <c r="J312" s="36" t="n"/>
      <c r="K312" s="38" t="n"/>
      <c r="L312" s="24" t="n"/>
    </row>
    <row r="313">
      <c r="B313" s="24" t="n"/>
      <c r="C313" s="24" t="n"/>
      <c r="D313" s="24" t="n"/>
      <c r="E313" s="35" t="n"/>
      <c r="F313" s="36" t="n"/>
      <c r="G313" s="35" t="n"/>
      <c r="H313" s="37" t="n"/>
      <c r="I313" s="36" t="n"/>
      <c r="J313" s="36" t="n"/>
      <c r="K313" s="38" t="n"/>
      <c r="L313" s="24" t="n"/>
    </row>
    <row r="314">
      <c r="B314" s="24" t="n"/>
      <c r="C314" s="24" t="n"/>
      <c r="D314" s="24" t="n"/>
      <c r="E314" s="35" t="n"/>
      <c r="F314" s="36" t="n"/>
      <c r="G314" s="35" t="n"/>
      <c r="H314" s="37" t="n"/>
      <c r="I314" s="36" t="n"/>
      <c r="J314" s="36" t="n"/>
      <c r="K314" s="38" t="n"/>
      <c r="L314" s="24" t="n"/>
    </row>
    <row r="315">
      <c r="B315" s="24" t="n"/>
      <c r="C315" s="24" t="n"/>
      <c r="D315" s="24" t="n"/>
      <c r="E315" s="35" t="n"/>
      <c r="F315" s="36" t="n"/>
      <c r="G315" s="35" t="n"/>
      <c r="H315" s="37" t="n"/>
      <c r="I315" s="36" t="n"/>
      <c r="J315" s="36" t="n"/>
      <c r="K315" s="38" t="n"/>
      <c r="L315" s="24" t="n"/>
    </row>
    <row r="316">
      <c r="B316" s="24" t="n"/>
      <c r="C316" s="24" t="n"/>
      <c r="D316" s="24" t="n"/>
      <c r="E316" s="35" t="n"/>
      <c r="F316" s="36" t="n"/>
      <c r="G316" s="35" t="n"/>
      <c r="H316" s="37" t="n"/>
      <c r="I316" s="36" t="n"/>
      <c r="J316" s="36" t="n"/>
      <c r="K316" s="38" t="n"/>
      <c r="L316" s="24" t="n"/>
    </row>
    <row r="317">
      <c r="B317" s="24" t="n"/>
      <c r="C317" s="24" t="n"/>
      <c r="D317" s="24" t="n"/>
      <c r="E317" s="35" t="n"/>
      <c r="F317" s="36" t="n"/>
      <c r="G317" s="35" t="n"/>
      <c r="H317" s="37" t="n"/>
      <c r="I317" s="36" t="n"/>
      <c r="J317" s="36" t="n"/>
      <c r="K317" s="38" t="n"/>
      <c r="L317" s="24" t="n"/>
    </row>
    <row r="318">
      <c r="B318" s="24" t="n"/>
      <c r="C318" s="24" t="n"/>
      <c r="D318" s="24" t="n"/>
      <c r="E318" s="35" t="n"/>
      <c r="F318" s="36" t="n"/>
      <c r="G318" s="35" t="n"/>
      <c r="H318" s="37" t="n"/>
      <c r="I318" s="36" t="n"/>
      <c r="J318" s="36" t="n"/>
      <c r="K318" s="38" t="n"/>
      <c r="L318" s="24" t="n"/>
    </row>
    <row r="319">
      <c r="B319" s="24" t="n"/>
      <c r="C319" s="24" t="n"/>
      <c r="D319" s="24" t="n"/>
      <c r="E319" s="35" t="n"/>
      <c r="F319" s="36" t="n"/>
      <c r="G319" s="35" t="n"/>
      <c r="H319" s="37" t="n"/>
      <c r="I319" s="36" t="n"/>
      <c r="J319" s="36" t="n"/>
      <c r="K319" s="38" t="n"/>
      <c r="L319" s="24" t="n"/>
    </row>
    <row r="320">
      <c r="B320" s="24" t="n"/>
      <c r="C320" s="24" t="n"/>
      <c r="D320" s="24" t="n"/>
      <c r="E320" s="35" t="n"/>
      <c r="F320" s="36" t="n"/>
      <c r="G320" s="35" t="n"/>
      <c r="H320" s="37" t="n"/>
      <c r="I320" s="36" t="n"/>
      <c r="J320" s="36" t="n"/>
      <c r="K320" s="38" t="n"/>
      <c r="L320" s="24" t="n"/>
    </row>
    <row r="321">
      <c r="B321" s="24" t="n"/>
      <c r="C321" s="24" t="n"/>
      <c r="D321" s="24" t="n"/>
      <c r="E321" s="35" t="n"/>
      <c r="F321" s="36" t="n"/>
      <c r="G321" s="35" t="n"/>
      <c r="H321" s="37" t="n"/>
      <c r="I321" s="36" t="n"/>
      <c r="J321" s="36" t="n"/>
      <c r="K321" s="38" t="n"/>
      <c r="L321" s="24" t="n"/>
    </row>
    <row r="322">
      <c r="B322" s="24" t="n"/>
      <c r="C322" s="24" t="n"/>
      <c r="D322" s="24" t="n"/>
      <c r="E322" s="35" t="n"/>
      <c r="F322" s="36" t="n"/>
      <c r="G322" s="35" t="n"/>
      <c r="H322" s="37" t="n"/>
      <c r="I322" s="36" t="n"/>
      <c r="J322" s="36" t="n"/>
      <c r="K322" s="38" t="n"/>
      <c r="L322" s="24" t="n"/>
    </row>
    <row r="323">
      <c r="B323" s="24" t="n"/>
      <c r="C323" s="24" t="n"/>
      <c r="D323" s="24" t="n"/>
      <c r="E323" s="35" t="n"/>
      <c r="F323" s="36" t="n"/>
      <c r="G323" s="35" t="n"/>
      <c r="H323" s="37" t="n"/>
      <c r="I323" s="36" t="n"/>
      <c r="J323" s="36" t="n"/>
      <c r="K323" s="38" t="n"/>
      <c r="L323" s="24" t="n"/>
    </row>
    <row r="324">
      <c r="B324" s="24" t="n"/>
      <c r="C324" s="24" t="n"/>
      <c r="D324" s="24" t="n"/>
      <c r="E324" s="35" t="n"/>
      <c r="F324" s="36" t="n"/>
      <c r="G324" s="35" t="n"/>
      <c r="H324" s="37" t="n"/>
      <c r="I324" s="36" t="n"/>
      <c r="J324" s="36" t="n"/>
      <c r="K324" s="38" t="n"/>
      <c r="L324" s="24" t="n"/>
    </row>
    <row r="325">
      <c r="B325" s="24" t="n"/>
      <c r="C325" s="24" t="n"/>
      <c r="D325" s="24" t="n"/>
      <c r="E325" s="35" t="n"/>
      <c r="F325" s="36" t="n"/>
      <c r="G325" s="35" t="n"/>
      <c r="H325" s="37" t="n"/>
      <c r="I325" s="36" t="n"/>
      <c r="J325" s="36" t="n"/>
      <c r="K325" s="38" t="n"/>
      <c r="L325" s="24" t="n"/>
    </row>
    <row r="326">
      <c r="B326" s="24" t="n"/>
      <c r="C326" s="24" t="n"/>
      <c r="D326" s="24" t="n"/>
      <c r="E326" s="35" t="n"/>
      <c r="F326" s="36" t="n"/>
      <c r="G326" s="35" t="n"/>
      <c r="H326" s="37" t="n"/>
      <c r="I326" s="36" t="n"/>
      <c r="J326" s="36" t="n"/>
      <c r="K326" s="38" t="n"/>
      <c r="L326" s="24" t="n"/>
    </row>
    <row r="327">
      <c r="B327" s="24" t="n"/>
      <c r="C327" s="24" t="n"/>
      <c r="D327" s="24" t="n"/>
      <c r="E327" s="35" t="n"/>
      <c r="F327" s="36" t="n"/>
      <c r="G327" s="35" t="n"/>
      <c r="H327" s="37" t="n"/>
      <c r="I327" s="36" t="n"/>
      <c r="J327" s="36" t="n"/>
      <c r="K327" s="38" t="n"/>
      <c r="L327" s="24" t="n"/>
    </row>
    <row r="328">
      <c r="B328" s="24" t="n"/>
      <c r="C328" s="24" t="n"/>
      <c r="D328" s="24" t="n"/>
      <c r="E328" s="35" t="n"/>
      <c r="F328" s="36" t="n"/>
      <c r="G328" s="35" t="n"/>
      <c r="H328" s="37" t="n"/>
      <c r="I328" s="36" t="n"/>
      <c r="J328" s="36" t="n"/>
      <c r="K328" s="38" t="n"/>
      <c r="L328" s="24" t="n"/>
    </row>
    <row r="329">
      <c r="B329" s="24" t="n"/>
      <c r="C329" s="24" t="n"/>
      <c r="D329" s="24" t="n"/>
      <c r="E329" s="35" t="n"/>
      <c r="F329" s="36" t="n"/>
      <c r="G329" s="35" t="n"/>
      <c r="H329" s="37" t="n"/>
      <c r="I329" s="36" t="n"/>
      <c r="J329" s="36" t="n"/>
      <c r="K329" s="38" t="n"/>
      <c r="L329" s="24" t="n"/>
    </row>
    <row r="330">
      <c r="B330" s="24" t="n"/>
      <c r="C330" s="24" t="n"/>
      <c r="D330" s="24" t="n"/>
      <c r="E330" s="35" t="n"/>
      <c r="F330" s="36" t="n"/>
      <c r="G330" s="35" t="n"/>
      <c r="H330" s="37" t="n"/>
      <c r="I330" s="36" t="n"/>
      <c r="J330" s="36" t="n"/>
      <c r="K330" s="38" t="n"/>
      <c r="L330" s="24" t="n"/>
    </row>
    <row r="331">
      <c r="B331" s="24" t="n"/>
      <c r="C331" s="24" t="n"/>
      <c r="D331" s="24" t="n"/>
      <c r="E331" s="35" t="n"/>
      <c r="F331" s="36" t="n"/>
      <c r="G331" s="35" t="n"/>
      <c r="H331" s="37" t="n"/>
      <c r="I331" s="36" t="n"/>
      <c r="J331" s="36" t="n"/>
      <c r="K331" s="38" t="n"/>
      <c r="L331" s="24" t="n"/>
    </row>
    <row r="332">
      <c r="B332" s="24" t="n"/>
      <c r="C332" s="24" t="n"/>
      <c r="D332" s="24" t="n"/>
      <c r="E332" s="35" t="n"/>
      <c r="F332" s="36" t="n"/>
      <c r="G332" s="35" t="n"/>
      <c r="H332" s="37" t="n"/>
      <c r="I332" s="36" t="n"/>
      <c r="J332" s="36" t="n"/>
      <c r="K332" s="38" t="n"/>
      <c r="L332" s="24" t="n"/>
    </row>
    <row r="333">
      <c r="B333" s="24" t="n"/>
      <c r="C333" s="24" t="n"/>
      <c r="D333" s="24" t="n"/>
      <c r="E333" s="35" t="n"/>
      <c r="F333" s="36" t="n"/>
      <c r="G333" s="35" t="n"/>
      <c r="H333" s="37" t="n"/>
      <c r="I333" s="36" t="n"/>
      <c r="J333" s="36" t="n"/>
      <c r="K333" s="38" t="n"/>
      <c r="L333" s="24" t="n"/>
    </row>
    <row r="334">
      <c r="B334" s="24" t="n"/>
      <c r="C334" s="24" t="n"/>
      <c r="D334" s="24" t="n"/>
      <c r="E334" s="35" t="n"/>
      <c r="F334" s="36" t="n"/>
      <c r="G334" s="35" t="n"/>
      <c r="H334" s="37" t="n"/>
      <c r="I334" s="36" t="n"/>
      <c r="J334" s="36" t="n"/>
      <c r="K334" s="38" t="n"/>
      <c r="L334" s="24" t="n"/>
    </row>
    <row r="335">
      <c r="B335" s="24" t="n"/>
      <c r="C335" s="24" t="n"/>
      <c r="D335" s="24" t="n"/>
      <c r="E335" s="35" t="n"/>
      <c r="F335" s="36" t="n"/>
      <c r="G335" s="35" t="n"/>
      <c r="H335" s="37" t="n"/>
      <c r="I335" s="36" t="n"/>
      <c r="J335" s="36" t="n"/>
      <c r="K335" s="38" t="n"/>
      <c r="L335" s="24" t="n"/>
    </row>
    <row r="336">
      <c r="B336" s="24" t="n"/>
      <c r="C336" s="24" t="n"/>
      <c r="D336" s="24" t="n"/>
      <c r="E336" s="35" t="n"/>
      <c r="F336" s="36" t="n"/>
      <c r="G336" s="35" t="n"/>
      <c r="H336" s="37" t="n"/>
      <c r="I336" s="36" t="n"/>
      <c r="J336" s="36" t="n"/>
      <c r="K336" s="38" t="n"/>
      <c r="L336" s="24" t="n"/>
    </row>
    <row r="337">
      <c r="B337" s="24" t="n"/>
      <c r="C337" s="24" t="n"/>
      <c r="D337" s="24" t="n"/>
      <c r="E337" s="35" t="n"/>
      <c r="F337" s="36" t="n"/>
      <c r="G337" s="35" t="n"/>
      <c r="H337" s="37" t="n"/>
      <c r="I337" s="36" t="n"/>
      <c r="J337" s="36" t="n"/>
      <c r="K337" s="38" t="n"/>
      <c r="L337" s="24" t="n"/>
    </row>
    <row r="338">
      <c r="B338" s="24" t="n"/>
      <c r="C338" s="24" t="n"/>
      <c r="D338" s="24" t="n"/>
      <c r="E338" s="35" t="n"/>
      <c r="F338" s="36" t="n"/>
      <c r="G338" s="35" t="n"/>
      <c r="H338" s="37" t="n"/>
      <c r="I338" s="36" t="n"/>
      <c r="J338" s="36" t="n"/>
      <c r="K338" s="38" t="n"/>
      <c r="L338" s="24" t="n"/>
    </row>
    <row r="339">
      <c r="B339" s="24" t="n"/>
      <c r="C339" s="24" t="n"/>
      <c r="D339" s="24" t="n"/>
      <c r="E339" s="35" t="n"/>
      <c r="F339" s="36" t="n"/>
      <c r="G339" s="35" t="n"/>
      <c r="H339" s="37" t="n"/>
      <c r="I339" s="36" t="n"/>
      <c r="J339" s="36" t="n"/>
      <c r="K339" s="38" t="n"/>
      <c r="L339" s="24" t="n"/>
    </row>
    <row r="340">
      <c r="B340" s="24" t="n"/>
      <c r="C340" s="24" t="n"/>
      <c r="D340" s="24" t="n"/>
      <c r="E340" s="35" t="n"/>
      <c r="F340" s="36" t="n"/>
      <c r="G340" s="35" t="n"/>
      <c r="H340" s="37" t="n"/>
      <c r="I340" s="36" t="n"/>
      <c r="J340" s="36" t="n"/>
      <c r="K340" s="38" t="n"/>
      <c r="L340" s="24" t="n"/>
    </row>
    <row r="341">
      <c r="B341" s="24" t="n"/>
      <c r="C341" s="24" t="n"/>
      <c r="D341" s="24" t="n"/>
      <c r="E341" s="35" t="n"/>
      <c r="F341" s="36" t="n"/>
      <c r="G341" s="35" t="n"/>
      <c r="H341" s="37" t="n"/>
      <c r="I341" s="36" t="n"/>
      <c r="J341" s="36" t="n"/>
      <c r="K341" s="38" t="n"/>
      <c r="L341" s="24" t="n"/>
    </row>
    <row r="342">
      <c r="B342" s="24" t="n"/>
      <c r="C342" s="24" t="n"/>
      <c r="D342" s="24" t="n"/>
      <c r="E342" s="35" t="n"/>
      <c r="F342" s="36" t="n"/>
      <c r="G342" s="35" t="n"/>
      <c r="H342" s="37" t="n"/>
      <c r="I342" s="36" t="n"/>
      <c r="J342" s="36" t="n"/>
      <c r="K342" s="38" t="n"/>
      <c r="L342" s="24" t="n"/>
    </row>
    <row r="343">
      <c r="B343" s="24" t="n"/>
      <c r="C343" s="24" t="n"/>
      <c r="D343" s="24" t="n"/>
      <c r="E343" s="35" t="n"/>
      <c r="F343" s="36" t="n"/>
      <c r="G343" s="35" t="n"/>
      <c r="H343" s="37" t="n"/>
      <c r="I343" s="36" t="n"/>
      <c r="J343" s="36" t="n"/>
      <c r="K343" s="38" t="n"/>
      <c r="L343" s="24" t="n"/>
    </row>
    <row r="344">
      <c r="B344" s="24" t="n"/>
      <c r="C344" s="24" t="n"/>
      <c r="D344" s="24" t="n"/>
      <c r="E344" s="35" t="n"/>
      <c r="F344" s="36" t="n"/>
      <c r="G344" s="35" t="n"/>
      <c r="H344" s="37" t="n"/>
      <c r="I344" s="36" t="n"/>
      <c r="J344" s="36" t="n"/>
      <c r="K344" s="38" t="n"/>
      <c r="L344" s="24" t="n"/>
    </row>
    <row r="345">
      <c r="B345" s="24" t="n"/>
      <c r="C345" s="24" t="n"/>
      <c r="D345" s="24" t="n"/>
      <c r="E345" s="35" t="n"/>
      <c r="F345" s="36" t="n"/>
      <c r="G345" s="35" t="n"/>
      <c r="H345" s="37" t="n"/>
      <c r="I345" s="36" t="n"/>
      <c r="J345" s="36" t="n"/>
      <c r="K345" s="38" t="n"/>
      <c r="L345" s="24" t="n"/>
    </row>
    <row r="346">
      <c r="B346" s="24" t="n"/>
      <c r="C346" s="24" t="n"/>
      <c r="D346" s="24" t="n"/>
      <c r="E346" s="35" t="n"/>
      <c r="F346" s="36" t="n"/>
      <c r="G346" s="35" t="n"/>
      <c r="H346" s="37" t="n"/>
      <c r="I346" s="36" t="n"/>
      <c r="J346" s="36" t="n"/>
      <c r="K346" s="38" t="n"/>
      <c r="L346" s="24" t="n"/>
    </row>
    <row r="347">
      <c r="B347" s="24" t="n"/>
      <c r="C347" s="24" t="n"/>
      <c r="D347" s="24" t="n"/>
      <c r="E347" s="35" t="n"/>
      <c r="F347" s="36" t="n"/>
      <c r="G347" s="35" t="n"/>
      <c r="H347" s="37" t="n"/>
      <c r="I347" s="36" t="n"/>
      <c r="J347" s="36" t="n"/>
      <c r="K347" s="38" t="n"/>
      <c r="L347" s="24" t="n"/>
    </row>
    <row r="348">
      <c r="B348" s="24" t="n"/>
      <c r="C348" s="24" t="n"/>
      <c r="D348" s="24" t="n"/>
      <c r="E348" s="35" t="n"/>
      <c r="F348" s="36" t="n"/>
      <c r="G348" s="35" t="n"/>
      <c r="H348" s="37" t="n"/>
      <c r="I348" s="36" t="n"/>
      <c r="J348" s="36" t="n"/>
      <c r="K348" s="38" t="n"/>
      <c r="L348" s="24" t="n"/>
    </row>
    <row r="349">
      <c r="B349" s="24" t="n"/>
      <c r="C349" s="24" t="n"/>
      <c r="D349" s="24" t="n"/>
      <c r="E349" s="35" t="n"/>
      <c r="F349" s="36" t="n"/>
      <c r="G349" s="35" t="n"/>
      <c r="H349" s="37" t="n"/>
      <c r="I349" s="36" t="n"/>
      <c r="J349" s="36" t="n"/>
      <c r="K349" s="38" t="n"/>
      <c r="L349" s="24" t="n"/>
    </row>
    <row r="350">
      <c r="B350" s="24" t="n"/>
      <c r="C350" s="24" t="n"/>
      <c r="D350" s="24" t="n"/>
      <c r="E350" s="35" t="n"/>
      <c r="F350" s="36" t="n"/>
      <c r="G350" s="35" t="n"/>
      <c r="H350" s="37" t="n"/>
      <c r="I350" s="36" t="n"/>
      <c r="J350" s="36" t="n"/>
      <c r="K350" s="38" t="n"/>
      <c r="L350" s="24" t="n"/>
    </row>
    <row r="351">
      <c r="B351" s="24" t="n"/>
      <c r="C351" s="24" t="n"/>
      <c r="D351" s="24" t="n"/>
      <c r="E351" s="35" t="n"/>
      <c r="F351" s="36" t="n"/>
      <c r="G351" s="35" t="n"/>
      <c r="H351" s="37" t="n"/>
      <c r="I351" s="36" t="n"/>
      <c r="J351" s="36" t="n"/>
      <c r="K351" s="38" t="n"/>
      <c r="L351" s="24" t="n"/>
    </row>
    <row r="352">
      <c r="B352" s="24" t="n"/>
      <c r="C352" s="24" t="n"/>
      <c r="D352" s="24" t="n"/>
      <c r="E352" s="35" t="n"/>
      <c r="F352" s="36" t="n"/>
      <c r="G352" s="35" t="n"/>
      <c r="H352" s="37" t="n"/>
      <c r="I352" s="36" t="n"/>
      <c r="J352" s="36" t="n"/>
      <c r="K352" s="38" t="n"/>
      <c r="L352" s="24" t="n"/>
    </row>
    <row r="353">
      <c r="B353" s="24" t="n"/>
      <c r="C353" s="24" t="n"/>
      <c r="D353" s="24" t="n"/>
      <c r="E353" s="35" t="n"/>
      <c r="F353" s="36" t="n"/>
      <c r="G353" s="35" t="n"/>
      <c r="H353" s="37" t="n"/>
      <c r="I353" s="36" t="n"/>
      <c r="J353" s="36" t="n"/>
      <c r="K353" s="38" t="n"/>
      <c r="L353" s="24" t="n"/>
    </row>
    <row r="354">
      <c r="B354" s="24" t="n"/>
      <c r="C354" s="24" t="n"/>
      <c r="D354" s="24" t="n"/>
      <c r="E354" s="35" t="n"/>
      <c r="F354" s="36" t="n"/>
      <c r="G354" s="35" t="n"/>
      <c r="H354" s="37" t="n"/>
      <c r="I354" s="36" t="n"/>
      <c r="J354" s="36" t="n"/>
      <c r="K354" s="38" t="n"/>
      <c r="L354" s="24" t="n"/>
    </row>
    <row r="355">
      <c r="B355" s="24" t="n"/>
      <c r="C355" s="24" t="n"/>
      <c r="D355" s="24" t="n"/>
      <c r="E355" s="35" t="n"/>
      <c r="F355" s="36" t="n"/>
      <c r="G355" s="35" t="n"/>
      <c r="H355" s="37" t="n"/>
      <c r="I355" s="36" t="n"/>
      <c r="J355" s="36" t="n"/>
      <c r="K355" s="38" t="n"/>
      <c r="L355" s="24" t="n"/>
    </row>
    <row r="356">
      <c r="B356" s="24" t="n"/>
      <c r="C356" s="24" t="n"/>
      <c r="D356" s="24" t="n"/>
      <c r="E356" s="35" t="n"/>
      <c r="F356" s="36" t="n"/>
      <c r="G356" s="35" t="n"/>
      <c r="H356" s="37" t="n"/>
      <c r="I356" s="36" t="n"/>
      <c r="J356" s="36" t="n"/>
      <c r="K356" s="38" t="n"/>
      <c r="L356" s="24" t="n"/>
    </row>
    <row r="357">
      <c r="B357" s="24" t="n"/>
      <c r="C357" s="24" t="n"/>
      <c r="D357" s="24" t="n"/>
      <c r="E357" s="35" t="n"/>
      <c r="F357" s="36" t="n"/>
      <c r="G357" s="35" t="n"/>
      <c r="H357" s="37" t="n"/>
      <c r="I357" s="36" t="n"/>
      <c r="J357" s="36" t="n"/>
      <c r="K357" s="38" t="n"/>
      <c r="L357" s="24" t="n"/>
    </row>
    <row r="358">
      <c r="B358" s="24" t="n"/>
      <c r="C358" s="24" t="n"/>
      <c r="D358" s="24" t="n"/>
      <c r="E358" s="35" t="n"/>
      <c r="F358" s="36" t="n"/>
      <c r="G358" s="35" t="n"/>
      <c r="H358" s="37" t="n"/>
      <c r="I358" s="36" t="n"/>
      <c r="J358" s="36" t="n"/>
      <c r="K358" s="38" t="n"/>
      <c r="L358" s="24" t="n"/>
    </row>
    <row r="359">
      <c r="B359" s="24" t="n"/>
      <c r="C359" s="24" t="n"/>
      <c r="D359" s="24" t="n"/>
      <c r="E359" s="35" t="n"/>
      <c r="F359" s="36" t="n"/>
      <c r="G359" s="35" t="n"/>
      <c r="H359" s="37" t="n"/>
      <c r="I359" s="36" t="n"/>
      <c r="J359" s="36" t="n"/>
      <c r="K359" s="38" t="n"/>
      <c r="L359" s="24" t="n"/>
    </row>
    <row r="360">
      <c r="B360" s="24" t="n"/>
      <c r="C360" s="24" t="n"/>
      <c r="D360" s="24" t="n"/>
      <c r="E360" s="35" t="n"/>
      <c r="F360" s="36" t="n"/>
      <c r="G360" s="35" t="n"/>
      <c r="H360" s="37" t="n"/>
      <c r="I360" s="36" t="n"/>
      <c r="J360" s="36" t="n"/>
      <c r="K360" s="38" t="n"/>
      <c r="L360" s="24" t="n"/>
    </row>
    <row r="361">
      <c r="B361" s="24" t="n"/>
      <c r="C361" s="24" t="n"/>
      <c r="D361" s="24" t="n"/>
      <c r="E361" s="35" t="n"/>
      <c r="F361" s="36" t="n"/>
      <c r="G361" s="35" t="n"/>
      <c r="H361" s="37" t="n"/>
      <c r="I361" s="36" t="n"/>
      <c r="J361" s="36" t="n"/>
      <c r="K361" s="38" t="n"/>
      <c r="L361" s="24" t="n"/>
    </row>
    <row r="362">
      <c r="B362" s="24" t="n"/>
      <c r="C362" s="24" t="n"/>
      <c r="D362" s="24" t="n"/>
      <c r="E362" s="35" t="n"/>
      <c r="F362" s="36" t="n"/>
      <c r="G362" s="35" t="n"/>
      <c r="H362" s="37" t="n"/>
      <c r="I362" s="36" t="n"/>
      <c r="J362" s="36" t="n"/>
      <c r="K362" s="38" t="n"/>
      <c r="L362" s="24" t="n"/>
    </row>
    <row r="363">
      <c r="B363" s="24" t="n"/>
      <c r="C363" s="24" t="n"/>
      <c r="D363" s="24" t="n"/>
      <c r="E363" s="35" t="n"/>
      <c r="F363" s="36" t="n"/>
      <c r="G363" s="35" t="n"/>
      <c r="H363" s="37" t="n"/>
      <c r="I363" s="36" t="n"/>
      <c r="J363" s="36" t="n"/>
      <c r="K363" s="38" t="n"/>
      <c r="L363" s="24" t="n"/>
    </row>
    <row r="364">
      <c r="B364" s="24" t="n"/>
      <c r="C364" s="24" t="n"/>
      <c r="D364" s="24" t="n"/>
      <c r="E364" s="35" t="n"/>
      <c r="F364" s="36" t="n"/>
      <c r="G364" s="35" t="n"/>
      <c r="H364" s="37" t="n"/>
      <c r="I364" s="36" t="n"/>
      <c r="J364" s="36" t="n"/>
      <c r="K364" s="38" t="n"/>
      <c r="L364" s="24" t="n"/>
    </row>
    <row r="365">
      <c r="B365" s="24" t="n"/>
      <c r="C365" s="24" t="n"/>
      <c r="D365" s="24" t="n"/>
      <c r="E365" s="35" t="n"/>
      <c r="F365" s="36" t="n"/>
      <c r="G365" s="35" t="n"/>
      <c r="H365" s="37" t="n"/>
      <c r="I365" s="36" t="n"/>
      <c r="J365" s="36" t="n"/>
      <c r="K365" s="38" t="n"/>
      <c r="L365" s="24" t="n"/>
    </row>
    <row r="366">
      <c r="B366" s="24" t="n"/>
      <c r="C366" s="24" t="n"/>
      <c r="D366" s="24" t="n"/>
      <c r="E366" s="35" t="n"/>
      <c r="F366" s="36" t="n"/>
      <c r="G366" s="35" t="n"/>
      <c r="H366" s="37" t="n"/>
      <c r="I366" s="36" t="n"/>
      <c r="J366" s="36" t="n"/>
      <c r="K366" s="38" t="n"/>
      <c r="L366" s="24" t="n"/>
    </row>
    <row r="367">
      <c r="B367" s="24" t="n"/>
      <c r="C367" s="24" t="n"/>
      <c r="D367" s="24" t="n"/>
      <c r="E367" s="35" t="n"/>
      <c r="F367" s="36" t="n"/>
      <c r="G367" s="35" t="n"/>
      <c r="H367" s="37" t="n"/>
      <c r="I367" s="36" t="n"/>
      <c r="J367" s="36" t="n"/>
      <c r="K367" s="38" t="n"/>
      <c r="L367" s="24" t="n"/>
    </row>
    <row r="368">
      <c r="B368" s="24" t="n"/>
      <c r="C368" s="24" t="n"/>
      <c r="D368" s="24" t="n"/>
      <c r="E368" s="35" t="n"/>
      <c r="F368" s="36" t="n"/>
      <c r="G368" s="35" t="n"/>
      <c r="H368" s="37" t="n"/>
      <c r="I368" s="36" t="n"/>
      <c r="J368" s="36" t="n"/>
      <c r="K368" s="38" t="n"/>
      <c r="L368" s="24" t="n"/>
    </row>
    <row r="369">
      <c r="B369" s="24" t="n"/>
      <c r="C369" s="24" t="n"/>
      <c r="D369" s="24" t="n"/>
      <c r="E369" s="35" t="n"/>
      <c r="F369" s="36" t="n"/>
      <c r="G369" s="35" t="n"/>
      <c r="H369" s="37" t="n"/>
      <c r="I369" s="36" t="n"/>
      <c r="J369" s="36" t="n"/>
      <c r="K369" s="38" t="n"/>
      <c r="L369" s="24" t="n"/>
    </row>
    <row r="370">
      <c r="B370" s="24" t="n"/>
      <c r="C370" s="24" t="n"/>
      <c r="D370" s="24" t="n"/>
      <c r="E370" s="35" t="n"/>
      <c r="F370" s="36" t="n"/>
      <c r="G370" s="35" t="n"/>
      <c r="H370" s="37" t="n"/>
      <c r="I370" s="36" t="n"/>
      <c r="J370" s="36" t="n"/>
      <c r="K370" s="38" t="n"/>
      <c r="L370" s="24" t="n"/>
    </row>
    <row r="371">
      <c r="B371" s="24" t="n"/>
      <c r="C371" s="24" t="n"/>
      <c r="D371" s="24" t="n"/>
      <c r="E371" s="35" t="n"/>
      <c r="F371" s="36" t="n"/>
      <c r="G371" s="35" t="n"/>
      <c r="H371" s="37" t="n"/>
      <c r="I371" s="36" t="n"/>
      <c r="J371" s="36" t="n"/>
      <c r="K371" s="38" t="n"/>
      <c r="L371" s="24" t="n"/>
    </row>
    <row r="372">
      <c r="B372" s="24" t="n"/>
      <c r="C372" s="24" t="n"/>
      <c r="D372" s="24" t="n"/>
      <c r="E372" s="35" t="n"/>
      <c r="F372" s="36" t="n"/>
      <c r="G372" s="35" t="n"/>
      <c r="H372" s="37" t="n"/>
      <c r="I372" s="36" t="n"/>
      <c r="J372" s="36" t="n"/>
      <c r="K372" s="38" t="n"/>
      <c r="L372" s="24" t="n"/>
    </row>
    <row r="373">
      <c r="B373" s="24" t="n"/>
      <c r="C373" s="24" t="n"/>
      <c r="D373" s="24" t="n"/>
      <c r="E373" s="35" t="n"/>
      <c r="F373" s="36" t="n"/>
      <c r="G373" s="35" t="n"/>
      <c r="H373" s="37" t="n"/>
      <c r="I373" s="36" t="n"/>
      <c r="J373" s="36" t="n"/>
      <c r="K373" s="38" t="n"/>
      <c r="L373" s="24" t="n"/>
    </row>
    <row r="374">
      <c r="B374" s="24" t="n"/>
      <c r="C374" s="24" t="n"/>
      <c r="D374" s="24" t="n"/>
      <c r="E374" s="35" t="n"/>
      <c r="F374" s="36" t="n"/>
      <c r="G374" s="35" t="n"/>
      <c r="H374" s="37" t="n"/>
      <c r="I374" s="36" t="n"/>
      <c r="J374" s="36" t="n"/>
      <c r="K374" s="38" t="n"/>
      <c r="L374" s="24" t="n"/>
    </row>
    <row r="375">
      <c r="B375" s="24" t="n"/>
      <c r="C375" s="24" t="n"/>
      <c r="D375" s="24" t="n"/>
      <c r="E375" s="35" t="n"/>
      <c r="F375" s="36" t="n"/>
      <c r="G375" s="35" t="n"/>
      <c r="H375" s="37" t="n"/>
      <c r="I375" s="36" t="n"/>
      <c r="J375" s="36" t="n"/>
      <c r="K375" s="38" t="n"/>
      <c r="L375" s="24" t="n"/>
    </row>
    <row r="376">
      <c r="B376" s="24" t="n"/>
      <c r="C376" s="24" t="n"/>
      <c r="D376" s="24" t="n"/>
      <c r="E376" s="35" t="n"/>
      <c r="F376" s="36" t="n"/>
      <c r="G376" s="35" t="n"/>
      <c r="H376" s="37" t="n"/>
      <c r="I376" s="36" t="n"/>
      <c r="J376" s="36" t="n"/>
      <c r="K376" s="38" t="n"/>
      <c r="L376" s="24" t="n"/>
    </row>
    <row r="377">
      <c r="B377" s="24" t="n"/>
      <c r="C377" s="24" t="n"/>
      <c r="D377" s="24" t="n"/>
      <c r="E377" s="35" t="n"/>
      <c r="F377" s="36" t="n"/>
      <c r="G377" s="35" t="n"/>
      <c r="H377" s="37" t="n"/>
      <c r="I377" s="36" t="n"/>
      <c r="J377" s="36" t="n"/>
      <c r="K377" s="38" t="n"/>
      <c r="L377" s="24" t="n"/>
    </row>
    <row r="378">
      <c r="B378" s="24" t="n"/>
      <c r="C378" s="24" t="n"/>
      <c r="D378" s="24" t="n"/>
      <c r="E378" s="35" t="n"/>
      <c r="F378" s="36" t="n"/>
      <c r="G378" s="35" t="n"/>
      <c r="H378" s="37" t="n"/>
      <c r="I378" s="36" t="n"/>
      <c r="J378" s="36" t="n"/>
      <c r="K378" s="38" t="n"/>
      <c r="L378" s="24" t="n"/>
    </row>
    <row r="379">
      <c r="B379" s="24" t="n"/>
      <c r="C379" s="24" t="n"/>
      <c r="D379" s="24" t="n"/>
      <c r="E379" s="35" t="n"/>
      <c r="F379" s="36" t="n"/>
      <c r="G379" s="35" t="n"/>
      <c r="H379" s="37" t="n"/>
      <c r="I379" s="36" t="n"/>
      <c r="J379" s="36" t="n"/>
      <c r="K379" s="38" t="n"/>
      <c r="L379" s="24" t="n"/>
    </row>
    <row r="380">
      <c r="B380" s="24" t="n"/>
      <c r="C380" s="24" t="n"/>
      <c r="D380" s="24" t="n"/>
      <c r="E380" s="35" t="n"/>
      <c r="F380" s="36" t="n"/>
      <c r="G380" s="35" t="n"/>
      <c r="H380" s="37" t="n"/>
      <c r="I380" s="36" t="n"/>
      <c r="J380" s="36" t="n"/>
      <c r="K380" s="38" t="n"/>
      <c r="L380" s="24" t="n"/>
    </row>
    <row r="381">
      <c r="B381" s="24" t="n"/>
      <c r="C381" s="24" t="n"/>
      <c r="D381" s="24" t="n"/>
      <c r="E381" s="35" t="n"/>
      <c r="F381" s="36" t="n"/>
      <c r="G381" s="35" t="n"/>
      <c r="H381" s="37" t="n"/>
      <c r="I381" s="36" t="n"/>
      <c r="J381" s="36" t="n"/>
      <c r="K381" s="38" t="n"/>
      <c r="L381" s="24" t="n"/>
    </row>
    <row r="382">
      <c r="B382" s="24" t="n"/>
      <c r="C382" s="24" t="n"/>
      <c r="D382" s="24" t="n"/>
      <c r="E382" s="35" t="n"/>
      <c r="F382" s="36" t="n"/>
      <c r="G382" s="35" t="n"/>
      <c r="H382" s="37" t="n"/>
      <c r="I382" s="36" t="n"/>
      <c r="J382" s="36" t="n"/>
      <c r="K382" s="38" t="n"/>
      <c r="L382" s="24" t="n"/>
    </row>
    <row r="383">
      <c r="B383" s="24" t="n"/>
      <c r="C383" s="24" t="n"/>
      <c r="D383" s="24" t="n"/>
      <c r="E383" s="35" t="n"/>
      <c r="F383" s="36" t="n"/>
      <c r="G383" s="35" t="n"/>
      <c r="H383" s="37" t="n"/>
      <c r="I383" s="36" t="n"/>
      <c r="J383" s="36" t="n"/>
      <c r="K383" s="38" t="n"/>
      <c r="L383" s="24" t="n"/>
    </row>
    <row r="384">
      <c r="B384" s="24" t="n"/>
      <c r="C384" s="24" t="n"/>
      <c r="D384" s="24" t="n"/>
      <c r="E384" s="35" t="n"/>
      <c r="F384" s="36" t="n"/>
      <c r="G384" s="35" t="n"/>
      <c r="H384" s="37" t="n"/>
      <c r="I384" s="36" t="n"/>
      <c r="J384" s="36" t="n"/>
      <c r="K384" s="38" t="n"/>
      <c r="L384" s="24" t="n"/>
    </row>
    <row r="385">
      <c r="B385" s="24" t="n"/>
      <c r="C385" s="24" t="n"/>
      <c r="D385" s="24" t="n"/>
      <c r="E385" s="35" t="n"/>
      <c r="F385" s="36" t="n"/>
      <c r="G385" s="35" t="n"/>
      <c r="H385" s="37" t="n"/>
      <c r="I385" s="36" t="n"/>
      <c r="J385" s="36" t="n"/>
      <c r="K385" s="38" t="n"/>
      <c r="L385" s="24" t="n"/>
    </row>
    <row r="386">
      <c r="B386" s="24" t="n"/>
      <c r="C386" s="24" t="n"/>
      <c r="D386" s="24" t="n"/>
      <c r="E386" s="35" t="n"/>
      <c r="F386" s="36" t="n"/>
      <c r="G386" s="35" t="n"/>
      <c r="H386" s="37" t="n"/>
      <c r="I386" s="36" t="n"/>
      <c r="J386" s="36" t="n"/>
      <c r="K386" s="38" t="n"/>
      <c r="L386" s="24" t="n"/>
    </row>
    <row r="387">
      <c r="B387" s="24" t="n"/>
      <c r="C387" s="24" t="n"/>
      <c r="D387" s="24" t="n"/>
      <c r="E387" s="35" t="n"/>
      <c r="F387" s="36" t="n"/>
      <c r="G387" s="35" t="n"/>
      <c r="H387" s="37" t="n"/>
      <c r="I387" s="36" t="n"/>
      <c r="J387" s="36" t="n"/>
      <c r="K387" s="38" t="n"/>
      <c r="L387" s="24" t="n"/>
    </row>
    <row r="388">
      <c r="B388" s="24" t="n"/>
      <c r="C388" s="24" t="n"/>
      <c r="D388" s="24" t="n"/>
      <c r="E388" s="35" t="n"/>
      <c r="F388" s="36" t="n"/>
      <c r="G388" s="35" t="n"/>
      <c r="H388" s="37" t="n"/>
      <c r="I388" s="36" t="n"/>
      <c r="J388" s="36" t="n"/>
      <c r="K388" s="38" t="n"/>
      <c r="L388" s="24" t="n"/>
    </row>
    <row r="389">
      <c r="B389" s="24" t="n"/>
      <c r="C389" s="24" t="n"/>
      <c r="D389" s="24" t="n"/>
      <c r="E389" s="35" t="n"/>
      <c r="F389" s="36" t="n"/>
      <c r="G389" s="35" t="n"/>
      <c r="H389" s="37" t="n"/>
      <c r="I389" s="36" t="n"/>
      <c r="J389" s="36" t="n"/>
      <c r="K389" s="38" t="n"/>
      <c r="L389" s="24" t="n"/>
    </row>
    <row r="390">
      <c r="B390" s="24" t="n"/>
      <c r="C390" s="24" t="n"/>
      <c r="D390" s="24" t="n"/>
      <c r="E390" s="35" t="n"/>
      <c r="F390" s="36" t="n"/>
      <c r="G390" s="35" t="n"/>
      <c r="H390" s="37" t="n"/>
      <c r="I390" s="36" t="n"/>
      <c r="J390" s="36" t="n"/>
      <c r="K390" s="38" t="n"/>
      <c r="L390" s="24" t="n"/>
    </row>
    <row r="391">
      <c r="B391" s="24" t="n"/>
      <c r="C391" s="24" t="n"/>
      <c r="D391" s="24" t="n"/>
      <c r="E391" s="35" t="n"/>
      <c r="F391" s="36" t="n"/>
      <c r="G391" s="35" t="n"/>
      <c r="H391" s="37" t="n"/>
      <c r="I391" s="36" t="n"/>
      <c r="J391" s="36" t="n"/>
      <c r="K391" s="38" t="n"/>
      <c r="L391" s="24" t="n"/>
    </row>
    <row r="392">
      <c r="B392" s="24" t="n"/>
      <c r="C392" s="24" t="n"/>
      <c r="D392" s="24" t="n"/>
      <c r="E392" s="35" t="n"/>
      <c r="F392" s="36" t="n"/>
      <c r="G392" s="35" t="n"/>
      <c r="H392" s="37" t="n"/>
      <c r="I392" s="36" t="n"/>
      <c r="J392" s="36" t="n"/>
      <c r="K392" s="38" t="n"/>
      <c r="L392" s="24" t="n"/>
    </row>
    <row r="393">
      <c r="B393" s="24" t="n"/>
      <c r="C393" s="24" t="n"/>
      <c r="D393" s="24" t="n"/>
      <c r="E393" s="35" t="n"/>
      <c r="F393" s="36" t="n"/>
      <c r="G393" s="35" t="n"/>
      <c r="H393" s="37" t="n"/>
      <c r="I393" s="36" t="n"/>
      <c r="J393" s="36" t="n"/>
      <c r="K393" s="38" t="n"/>
      <c r="L393" s="24" t="n"/>
    </row>
    <row r="394">
      <c r="B394" s="24" t="n"/>
      <c r="C394" s="24" t="n"/>
      <c r="D394" s="24" t="n"/>
      <c r="E394" s="35" t="n"/>
      <c r="F394" s="36" t="n"/>
      <c r="G394" s="35" t="n"/>
      <c r="H394" s="37" t="n"/>
      <c r="I394" s="36" t="n"/>
      <c r="J394" s="36" t="n"/>
      <c r="K394" s="38" t="n"/>
      <c r="L394" s="24" t="n"/>
    </row>
    <row r="395">
      <c r="B395" s="24" t="n"/>
      <c r="C395" s="24" t="n"/>
      <c r="D395" s="24" t="n"/>
      <c r="E395" s="35" t="n"/>
      <c r="F395" s="36" t="n"/>
      <c r="G395" s="35" t="n"/>
      <c r="H395" s="37" t="n"/>
      <c r="I395" s="36" t="n"/>
      <c r="J395" s="36" t="n"/>
      <c r="K395" s="38" t="n"/>
      <c r="L395" s="24" t="n"/>
    </row>
    <row r="396">
      <c r="B396" s="24" t="n"/>
      <c r="C396" s="24" t="n"/>
      <c r="D396" s="24" t="n"/>
      <c r="E396" s="35" t="n"/>
      <c r="F396" s="36" t="n"/>
      <c r="G396" s="35" t="n"/>
      <c r="H396" s="37" t="n"/>
      <c r="I396" s="36" t="n"/>
      <c r="J396" s="36" t="n"/>
      <c r="K396" s="38" t="n"/>
      <c r="L396" s="24" t="n"/>
    </row>
    <row r="397">
      <c r="B397" s="24" t="n"/>
      <c r="C397" s="24" t="n"/>
      <c r="D397" s="24" t="n"/>
      <c r="E397" s="35" t="n"/>
      <c r="F397" s="36" t="n"/>
      <c r="G397" s="35" t="n"/>
      <c r="H397" s="37" t="n"/>
      <c r="I397" s="36" t="n"/>
      <c r="J397" s="36" t="n"/>
      <c r="K397" s="38" t="n"/>
      <c r="L397" s="24" t="n"/>
    </row>
    <row r="398">
      <c r="B398" s="24" t="n"/>
      <c r="C398" s="24" t="n"/>
      <c r="D398" s="24" t="n"/>
      <c r="E398" s="35" t="n"/>
      <c r="F398" s="36" t="n"/>
      <c r="G398" s="35" t="n"/>
      <c r="H398" s="37" t="n"/>
      <c r="I398" s="36" t="n"/>
      <c r="J398" s="36" t="n"/>
      <c r="K398" s="38" t="n"/>
      <c r="L398" s="24" t="n"/>
    </row>
    <row r="399">
      <c r="B399" s="24" t="n"/>
      <c r="C399" s="24" t="n"/>
      <c r="D399" s="24" t="n"/>
      <c r="E399" s="35" t="n"/>
      <c r="F399" s="36" t="n"/>
      <c r="G399" s="35" t="n"/>
      <c r="H399" s="37" t="n"/>
      <c r="I399" s="36" t="n"/>
      <c r="J399" s="36" t="n"/>
      <c r="K399" s="38" t="n"/>
      <c r="L399" s="24" t="n"/>
    </row>
    <row r="400">
      <c r="B400" s="24" t="n"/>
      <c r="C400" s="24" t="n"/>
      <c r="D400" s="24" t="n"/>
      <c r="E400" s="35" t="n"/>
      <c r="F400" s="36" t="n"/>
      <c r="G400" s="35" t="n"/>
      <c r="H400" s="37" t="n"/>
      <c r="I400" s="36" t="n"/>
      <c r="J400" s="36" t="n"/>
      <c r="K400" s="38" t="n"/>
      <c r="L400" s="24" t="n"/>
    </row>
    <row r="401">
      <c r="B401" s="24" t="n"/>
      <c r="C401" s="24" t="n"/>
      <c r="D401" s="24" t="n"/>
      <c r="E401" s="35" t="n"/>
      <c r="F401" s="36" t="n"/>
      <c r="G401" s="35" t="n"/>
      <c r="H401" s="37" t="n"/>
      <c r="I401" s="36" t="n"/>
      <c r="J401" s="36" t="n"/>
      <c r="K401" s="38" t="n"/>
      <c r="L401" s="24" t="n"/>
    </row>
    <row r="402">
      <c r="B402" s="24" t="n"/>
      <c r="C402" s="24" t="n"/>
      <c r="D402" s="24" t="n"/>
      <c r="E402" s="35" t="n"/>
      <c r="F402" s="36" t="n"/>
      <c r="G402" s="35" t="n"/>
      <c r="H402" s="37" t="n"/>
      <c r="I402" s="36" t="n"/>
      <c r="J402" s="36" t="n"/>
      <c r="K402" s="38" t="n"/>
      <c r="L402" s="24" t="n"/>
    </row>
    <row r="403">
      <c r="B403" s="24" t="n"/>
      <c r="C403" s="24" t="n"/>
      <c r="D403" s="24" t="n"/>
      <c r="E403" s="35" t="n"/>
      <c r="F403" s="36" t="n"/>
      <c r="G403" s="35" t="n"/>
      <c r="H403" s="37" t="n"/>
      <c r="I403" s="36" t="n"/>
      <c r="J403" s="36" t="n"/>
      <c r="K403" s="38" t="n"/>
      <c r="L403" s="24" t="n"/>
    </row>
    <row r="404">
      <c r="B404" s="24" t="n"/>
      <c r="C404" s="24" t="n"/>
      <c r="D404" s="24" t="n"/>
      <c r="E404" s="35" t="n"/>
      <c r="F404" s="36" t="n"/>
      <c r="G404" s="35" t="n"/>
      <c r="H404" s="37" t="n"/>
      <c r="I404" s="36" t="n"/>
      <c r="J404" s="36" t="n"/>
      <c r="K404" s="38" t="n"/>
      <c r="L404" s="24" t="n"/>
    </row>
    <row r="405">
      <c r="B405" s="24" t="n"/>
      <c r="C405" s="24" t="n"/>
      <c r="D405" s="24" t="n"/>
      <c r="E405" s="35" t="n"/>
      <c r="F405" s="36" t="n"/>
      <c r="G405" s="35" t="n"/>
      <c r="H405" s="37" t="n"/>
      <c r="I405" s="36" t="n"/>
      <c r="J405" s="36" t="n"/>
      <c r="K405" s="38" t="n"/>
      <c r="L405" s="24" t="n"/>
    </row>
    <row r="406">
      <c r="B406" s="24" t="n"/>
      <c r="C406" s="24" t="n"/>
      <c r="D406" s="24" t="n"/>
      <c r="E406" s="35" t="n"/>
      <c r="F406" s="36" t="n"/>
      <c r="G406" s="35" t="n"/>
      <c r="H406" s="37" t="n"/>
      <c r="I406" s="36" t="n"/>
      <c r="J406" s="36" t="n"/>
      <c r="K406" s="38" t="n"/>
      <c r="L406" s="24" t="n"/>
    </row>
    <row r="407">
      <c r="B407" s="24" t="n"/>
      <c r="C407" s="24" t="n"/>
      <c r="D407" s="24" t="n"/>
      <c r="E407" s="35" t="n"/>
      <c r="F407" s="36" t="n"/>
      <c r="G407" s="35" t="n"/>
      <c r="H407" s="37" t="n"/>
      <c r="I407" s="36" t="n"/>
      <c r="J407" s="36" t="n"/>
      <c r="K407" s="38" t="n"/>
      <c r="L407" s="24" t="n"/>
    </row>
    <row r="408">
      <c r="B408" s="24" t="n"/>
      <c r="C408" s="24" t="n"/>
      <c r="D408" s="24" t="n"/>
      <c r="E408" s="35" t="n"/>
      <c r="F408" s="36" t="n"/>
      <c r="G408" s="35" t="n"/>
      <c r="H408" s="37" t="n"/>
      <c r="I408" s="36" t="n"/>
      <c r="J408" s="36" t="n"/>
      <c r="K408" s="38" t="n"/>
      <c r="L408" s="24" t="n"/>
    </row>
    <row r="409">
      <c r="B409" s="24" t="n"/>
      <c r="C409" s="24" t="n"/>
      <c r="D409" s="24" t="n"/>
      <c r="E409" s="35" t="n"/>
      <c r="F409" s="36" t="n"/>
      <c r="G409" s="35" t="n"/>
      <c r="H409" s="37" t="n"/>
      <c r="I409" s="36" t="n"/>
      <c r="J409" s="36" t="n"/>
      <c r="K409" s="38" t="n"/>
      <c r="L409" s="24" t="n"/>
    </row>
    <row r="410">
      <c r="B410" s="24" t="n"/>
      <c r="C410" s="24" t="n"/>
      <c r="D410" s="24" t="n"/>
      <c r="E410" s="35" t="n"/>
      <c r="F410" s="36" t="n"/>
      <c r="G410" s="35" t="n"/>
      <c r="H410" s="37" t="n"/>
      <c r="I410" s="36" t="n"/>
      <c r="J410" s="36" t="n"/>
      <c r="K410" s="38" t="n"/>
      <c r="L410" s="24" t="n"/>
    </row>
    <row r="411">
      <c r="B411" s="24" t="n"/>
      <c r="C411" s="24" t="n"/>
      <c r="D411" s="24" t="n"/>
      <c r="E411" s="35" t="n"/>
      <c r="F411" s="36" t="n"/>
      <c r="G411" s="35" t="n"/>
      <c r="H411" s="37" t="n"/>
      <c r="I411" s="36" t="n"/>
      <c r="J411" s="36" t="n"/>
      <c r="K411" s="38" t="n"/>
      <c r="L411" s="24" t="n"/>
    </row>
    <row r="412">
      <c r="B412" s="24" t="n"/>
      <c r="C412" s="24" t="n"/>
      <c r="D412" s="24" t="n"/>
      <c r="E412" s="35" t="n"/>
      <c r="F412" s="36" t="n"/>
      <c r="G412" s="35" t="n"/>
      <c r="H412" s="37" t="n"/>
      <c r="I412" s="36" t="n"/>
      <c r="J412" s="36" t="n"/>
      <c r="K412" s="38" t="n"/>
      <c r="L412" s="24" t="n"/>
    </row>
    <row r="413">
      <c r="B413" s="24" t="n"/>
      <c r="C413" s="24" t="n"/>
      <c r="D413" s="24" t="n"/>
      <c r="E413" s="35" t="n"/>
      <c r="F413" s="36" t="n"/>
      <c r="G413" s="35" t="n"/>
      <c r="H413" s="37" t="n"/>
      <c r="I413" s="36" t="n"/>
      <c r="J413" s="36" t="n"/>
      <c r="K413" s="38" t="n"/>
      <c r="L413" s="24" t="n"/>
    </row>
    <row r="414">
      <c r="B414" s="24" t="n"/>
      <c r="C414" s="24" t="n"/>
      <c r="D414" s="24" t="n"/>
      <c r="E414" s="35" t="n"/>
      <c r="F414" s="36" t="n"/>
      <c r="G414" s="35" t="n"/>
      <c r="H414" s="37" t="n"/>
      <c r="I414" s="36" t="n"/>
      <c r="J414" s="36" t="n"/>
      <c r="K414" s="38" t="n"/>
      <c r="L414" s="24" t="n"/>
    </row>
    <row r="415">
      <c r="B415" s="24" t="n"/>
      <c r="C415" s="24" t="n"/>
      <c r="D415" s="24" t="n"/>
      <c r="E415" s="35" t="n"/>
      <c r="F415" s="36" t="n"/>
      <c r="G415" s="35" t="n"/>
      <c r="H415" s="37" t="n"/>
      <c r="I415" s="36" t="n"/>
      <c r="J415" s="36" t="n"/>
      <c r="K415" s="38" t="n"/>
      <c r="L415" s="24" t="n"/>
    </row>
    <row r="416">
      <c r="B416" s="24" t="n"/>
      <c r="C416" s="24" t="n"/>
      <c r="D416" s="24" t="n"/>
      <c r="E416" s="35" t="n"/>
      <c r="F416" s="36" t="n"/>
      <c r="G416" s="35" t="n"/>
      <c r="H416" s="37" t="n"/>
      <c r="I416" s="36" t="n"/>
      <c r="J416" s="36" t="n"/>
      <c r="K416" s="38" t="n"/>
      <c r="L416" s="24" t="n"/>
    </row>
    <row r="417">
      <c r="B417" s="24" t="n"/>
      <c r="C417" s="24" t="n"/>
      <c r="D417" s="24" t="n"/>
      <c r="E417" s="35" t="n"/>
      <c r="F417" s="36" t="n"/>
      <c r="G417" s="35" t="n"/>
      <c r="H417" s="37" t="n"/>
      <c r="I417" s="36" t="n"/>
      <c r="J417" s="36" t="n"/>
      <c r="K417" s="38" t="n"/>
      <c r="L417" s="24" t="n"/>
    </row>
    <row r="418">
      <c r="B418" s="24" t="n"/>
      <c r="C418" s="24" t="n"/>
      <c r="D418" s="24" t="n"/>
      <c r="E418" s="35" t="n"/>
      <c r="F418" s="36" t="n"/>
      <c r="G418" s="35" t="n"/>
      <c r="H418" s="37" t="n"/>
      <c r="I418" s="36" t="n"/>
      <c r="J418" s="36" t="n"/>
      <c r="K418" s="38" t="n"/>
      <c r="L418" s="24" t="n"/>
    </row>
    <row r="419">
      <c r="B419" s="24" t="n"/>
      <c r="C419" s="24" t="n"/>
      <c r="D419" s="24" t="n"/>
      <c r="E419" s="35" t="n"/>
      <c r="F419" s="36" t="n"/>
      <c r="G419" s="35" t="n"/>
      <c r="H419" s="37" t="n"/>
      <c r="I419" s="36" t="n"/>
      <c r="J419" s="36" t="n"/>
      <c r="K419" s="38" t="n"/>
      <c r="L419" s="24" t="n"/>
    </row>
    <row r="420">
      <c r="B420" s="24" t="n"/>
      <c r="C420" s="24" t="n"/>
      <c r="D420" s="24" t="n"/>
      <c r="E420" s="35" t="n"/>
      <c r="F420" s="36" t="n"/>
      <c r="G420" s="35" t="n"/>
      <c r="H420" s="37" t="n"/>
      <c r="I420" s="36" t="n"/>
      <c r="J420" s="36" t="n"/>
      <c r="K420" s="38" t="n"/>
      <c r="L420" s="24" t="n"/>
    </row>
  </sheetData>
  <sheetProtection selectLockedCells="0" selectUnlockedCells="0" sheet="1" objects="0" insertRows="1" insertHyperlinks="1" autoFilter="0" scenarios="0" formatColumns="0" deleteColumns="1" insertColumns="1" pivotTables="1" deleteRows="1" formatCells="1" formatRows="0" sort="1"/>
  <mergeCells count="23">
    <mergeCell ref="E3:I3"/>
    <mergeCell ref="B7:C7"/>
    <mergeCell ref="E9:G9"/>
    <mergeCell ref="H9:I9"/>
    <mergeCell ref="J7:L7"/>
    <mergeCell ref="C13:L13"/>
    <mergeCell ref="C15:L15"/>
    <mergeCell ref="B8:C8"/>
    <mergeCell ref="E7:G7"/>
    <mergeCell ref="J3:L3"/>
    <mergeCell ref="C14:L14"/>
    <mergeCell ref="H7:I7"/>
    <mergeCell ref="J8:L8"/>
    <mergeCell ref="B9:C9"/>
    <mergeCell ref="C16:L16"/>
    <mergeCell ref="E8:G8"/>
    <mergeCell ref="B5:L5"/>
    <mergeCell ref="C12:L12"/>
    <mergeCell ref="H8:I8"/>
    <mergeCell ref="J9:L9"/>
    <mergeCell ref="C3:D3"/>
    <mergeCell ref="C11:L11"/>
    <mergeCell ref="C18:J18"/>
  </mergeCells>
  <conditionalFormatting sqref="E8">
    <cfRule type="expression" priority="1" dxfId="0">
      <formula>LEFT($E$8,1)="+"</formula>
    </cfRule>
    <cfRule type="expression" priority="2" dxfId="1">
      <formula>LEFT($E$8,1)="-"</formula>
    </cfRule>
  </conditionalFormatting>
  <conditionalFormatting sqref="B8">
    <cfRule type="expression" priority="3" dxfId="2">
      <formula>NOT(ISNUMBER($P$1))</formula>
    </cfRule>
  </conditionalFormatting>
  <conditionalFormatting sqref="C12">
    <cfRule type="expression" priority="4" dxfId="3">
      <formula>$P$7&lt;&gt;$P$2</formula>
    </cfRule>
    <cfRule type="expression" priority="5" dxfId="4">
      <formula>$P$7=$P$2</formula>
    </cfRule>
  </conditionalFormatting>
  <conditionalFormatting sqref="C14">
    <cfRule type="expression" priority="6" dxfId="5">
      <formula>ISNUMBER(SEARCH("OUT OF DATE",$C$14))+ISNUMBER(SEARCH("no update",$C$14))</formula>
    </cfRule>
  </conditionalFormatting>
  <conditionalFormatting sqref="C15">
    <cfRule type="expression" priority="7" dxfId="3">
      <formula>LEFT($C$15,8)&lt;&gt;"Setup OK"</formula>
    </cfRule>
  </conditionalFormatting>
  <conditionalFormatting sqref="B21:L3021">
    <cfRule type="expression" priority="8" dxfId="6">
      <formula>$C21&lt;&gt;""</formula>
    </cfRule>
  </conditionalFormatting>
  <conditionalFormatting sqref="G21:G3021">
    <cfRule type="expression" priority="9" dxfId="7">
      <formula>AND(ISNUMBER($G21),ISNUMBER($P$1),$G21=$P$1)</formula>
    </cfRule>
  </conditionalFormatting>
  <conditionalFormatting sqref="J21:J3021">
    <cfRule type="expression" priority="10" dxfId="8">
      <formula>AND(ISNUMBER($J21),$J21&gt;0)</formula>
    </cfRule>
    <cfRule type="expression" priority="11" dxfId="4">
      <formula>AND(ISNUMBER($J21),$J21=0)</formula>
    </cfRule>
  </conditionalFormatting>
  <conditionalFormatting sqref="L21:L3021">
    <cfRule type="expression" priority="12" dxfId="3">
      <formula>AND($L21&lt;&gt;"",$L21&lt;&gt;"OK")</formula>
    </cfRule>
  </conditionalFormatting>
  <conditionalFormatting sqref="B21:B3021">
    <cfRule type="expression" priority="13" dxfId="9">
      <formula>AND($B21&lt;&gt;"",$B21=$B20)</formula>
    </cfRule>
  </conditionalFormatting>
  <dataValidations count="2">
    <dataValidation sqref="C3" showDropDown="0" showInputMessage="0" showErrorMessage="1" allowBlank="0" errorTitle="Check entry" error="Pick a contract from the list (Contracts sheet)." type="list" errorStyle="stop">
      <formula1>ContractList</formula1>
    </dataValidation>
    <dataValidation sqref="K18" showDropDown="0" showInputMessage="0" showErrorMessage="1" allowBlank="1" errorTitle="Check entry" error="Target must be a whole number of repeater kits." type="whole" errorStyle="stop" operator="greaterThanOrEqual">
      <formula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BD19"/>
  <sheetViews>
    <sheetView showGridLines="0" zoomScale="85" workbookViewId="0">
      <pane xSplit="4" ySplit="11" topLeftCell="E12"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8" customWidth="1" min="3" max="3"/>
    <col width="9" customWidth="1" min="4" max="4"/>
    <col width="6.2" customWidth="1" min="5" max="5"/>
    <col width="6.2" customWidth="1" min="6" max="6"/>
    <col width="6.2"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6.2" customWidth="1" min="15" max="15"/>
    <col width="6.2" customWidth="1" min="16" max="16"/>
    <col width="6.2" customWidth="1" min="17" max="17"/>
    <col width="6.2" customWidth="1" min="18" max="18"/>
    <col width="6.2" customWidth="1" min="19" max="19"/>
    <col width="6.2" customWidth="1" min="20" max="20"/>
    <col width="6.2" customWidth="1" min="21" max="21"/>
    <col width="6.2" customWidth="1" min="22" max="22"/>
    <col width="6.2" customWidth="1" min="23" max="23"/>
    <col width="6.2" customWidth="1" min="24" max="24"/>
    <col width="6.2" customWidth="1" min="25" max="25"/>
    <col width="6.2" customWidth="1" min="26" max="26"/>
    <col width="6.2" customWidth="1" min="27" max="27"/>
    <col width="6.2" customWidth="1" min="28" max="28"/>
    <col width="6.2" customWidth="1" min="29" max="29"/>
    <col width="6.2" customWidth="1" min="30" max="30"/>
    <col width="6.2" customWidth="1" min="31" max="31"/>
    <col width="6.2" customWidth="1" min="32" max="32"/>
    <col width="6.2" customWidth="1" min="33" max="33"/>
    <col width="6.2" customWidth="1" min="34" max="34"/>
    <col width="6.2" customWidth="1" min="35" max="35"/>
    <col width="6.2" customWidth="1" min="36" max="36"/>
    <col width="6.2" customWidth="1" min="37" max="37"/>
    <col width="6.2" customWidth="1" min="38" max="38"/>
    <col width="6.2" customWidth="1" min="39" max="39"/>
    <col width="6.2" customWidth="1" min="40" max="40"/>
    <col width="6.2" customWidth="1" min="41" max="41"/>
    <col width="6.2" customWidth="1" min="42" max="42"/>
    <col width="6.2" customWidth="1" min="43" max="43"/>
    <col width="6.2" customWidth="1" min="44" max="44"/>
    <col width="6.2" customWidth="1" min="45" max="45"/>
    <col width="6.2" customWidth="1" min="46" max="46"/>
    <col width="6.2" customWidth="1" min="47" max="47"/>
    <col width="6.2" customWidth="1" min="48" max="48"/>
    <col width="6.2" customWidth="1" min="49" max="49"/>
    <col width="6.2" customWidth="1" min="50" max="50"/>
    <col width="6.2" customWidth="1" min="51" max="51"/>
    <col width="6.2" customWidth="1" min="52" max="52"/>
    <col width="6.2" customWidth="1" min="53" max="53"/>
    <col width="6.2" customWidth="1" min="54" max="54"/>
    <col width="6.2" customWidth="1" min="55" max="55"/>
    <col width="6.2" customWidth="1" min="56" max="56"/>
  </cols>
  <sheetData>
    <row r="1">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row>
    <row r="2" ht="30" customHeight="1">
      <c r="B2" s="39" t="inlineStr">
        <is>
          <t>R5B AMP KITTING — WEEKLY SCHEDULE</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row>
    <row r="3">
      <c r="B3" s="10" t="inlineStr">
        <is>
          <t>CONTRACT ▸</t>
        </is>
      </c>
      <c r="C3" s="40" t="inlineStr">
        <is>
          <t>E2A-R12P-T5-C</t>
        </is>
      </c>
      <c r="D3" s="41" t="n"/>
      <c r="E3" s="42">
        <f>IFERROR(INDEX(tblContracts[Friendly name],MATCH($C$3,tblContracts[Contract ID],0))&amp;"  ·  kit release "&amp;INDEX(tblContracts[Kit-release lead (weeks before final build)],MATCH($C$3,tblContracts[Contract ID],0))&amp;" wk before final build  ·  AMPS build "&amp;INDEX(tblContracts[AMPS-build lead (weeks before final build)],MATCH($C$3,tblContracts[Contract ID],0))&amp;" wk before","Contract not found")</f>
        <v/>
      </c>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row>
    <row r="5">
      <c r="B5" s="43" t="inlineStr">
        <is>
          <t>Weeks before this week ▸</t>
        </is>
      </c>
      <c r="C5" s="44" t="n">
        <v>6</v>
      </c>
      <c r="D5" s="45">
        <f>IF(ISNUMBER($C$6),$C$6-WEEKDAY($C$6,2)+1,ThisWeek-7*$C$5)</f>
        <v/>
      </c>
      <c r="E5" s="46">
        <f>"Final builds scheduled outside this window:  before = "&amp;SUMIFS(tblPlan[Repeaters planned],tblPlan[Contract],$C$3,tblPlan[Final build week (Monday)],"&lt;"&amp;$D$5)&amp;"   ·   after = "&amp;SUMIFS(tblPlan[Repeaters planned],tblPlan[Contract],$C$3,tblPlan[Final build week (Monday)],"&gt;="&amp;($D$5+7*52))&amp;"   ·   total scheduled = "&amp;SUMIFS(tblPlan[Repeaters planned],tblPlan[Contract],$C$3)&amp;" of "&amp;IFERROR(INDEX(tblContracts[Total repeaters required],MATCH($C$3,tblContracts[Contract ID],0)),0)&amp;" required (all dates are included in Dashboard calculations)"</f>
        <v/>
      </c>
    </row>
    <row r="6" ht="24" customHeight="1">
      <c r="B6" s="43" t="inlineStr">
        <is>
          <t>…or fixed start date ▸</t>
        </is>
      </c>
      <c r="C6" s="47" t="n"/>
      <c r="D6" s="48" t="inlineStr">
        <is>
          <t>window start</t>
        </is>
      </c>
      <c r="E6" s="49" t="inlineStr">
        <is>
          <t>Kit release, AMPS build and final build show SCHEDULED quantities from the Weekly Plan. Supplied totals show how many kits are covered, not which weekly batch was released, and say nothing about AMPS-build or final-build completion.</t>
        </is>
      </c>
    </row>
    <row r="7">
      <c r="E7" s="50" t="inlineStr">
        <is>
          <t>Kit release (scheduled)</t>
        </is>
      </c>
      <c r="I7" s="51" t="inlineStr">
        <is>
          <t>Kit covered by supplied totals</t>
        </is>
      </c>
      <c r="N7" s="52" t="inlineStr">
        <is>
          <t>Kit due, NOT covered</t>
        </is>
      </c>
      <c r="R7" s="53" t="inlineStr">
        <is>
          <t>AMPS build (scheduled)</t>
        </is>
      </c>
      <c r="V7" s="54" t="inlineStr">
        <is>
          <t>Final build / housing (scheduled)</t>
        </is>
      </c>
      <c r="AA7" s="55" t="inlineStr">
        <is>
          <t>│ red line = this week</t>
        </is>
      </c>
    </row>
    <row r="9">
      <c r="B9" s="56" t="n"/>
      <c r="C9" s="57" t="inlineStr">
        <is>
          <t>ISO year</t>
        </is>
      </c>
      <c r="D9" s="56" t="n"/>
      <c r="E9" s="58">
        <f>IF(OR(0=0,_xlfn.ISOWEEKNUM(E11)=1),YEAR(E11+3),"")</f>
        <v/>
      </c>
      <c r="F9" s="58">
        <f>IF(OR(1=0,_xlfn.ISOWEEKNUM(F11)=1),YEAR(F11+3),"")</f>
        <v/>
      </c>
      <c r="G9" s="58">
        <f>IF(OR(2=0,_xlfn.ISOWEEKNUM(G11)=1),YEAR(G11+3),"")</f>
        <v/>
      </c>
      <c r="H9" s="58">
        <f>IF(OR(3=0,_xlfn.ISOWEEKNUM(H11)=1),YEAR(H11+3),"")</f>
        <v/>
      </c>
      <c r="I9" s="58">
        <f>IF(OR(4=0,_xlfn.ISOWEEKNUM(I11)=1),YEAR(I11+3),"")</f>
        <v/>
      </c>
      <c r="J9" s="58">
        <f>IF(OR(5=0,_xlfn.ISOWEEKNUM(J11)=1),YEAR(J11+3),"")</f>
        <v/>
      </c>
      <c r="K9" s="58">
        <f>IF(OR(6=0,_xlfn.ISOWEEKNUM(K11)=1),YEAR(K11+3),"")</f>
        <v/>
      </c>
      <c r="L9" s="58">
        <f>IF(OR(7=0,_xlfn.ISOWEEKNUM(L11)=1),YEAR(L11+3),"")</f>
        <v/>
      </c>
      <c r="M9" s="58">
        <f>IF(OR(8=0,_xlfn.ISOWEEKNUM(M11)=1),YEAR(M11+3),"")</f>
        <v/>
      </c>
      <c r="N9" s="58">
        <f>IF(OR(9=0,_xlfn.ISOWEEKNUM(N11)=1),YEAR(N11+3),"")</f>
        <v/>
      </c>
      <c r="O9" s="58">
        <f>IF(OR(10=0,_xlfn.ISOWEEKNUM(O11)=1),YEAR(O11+3),"")</f>
        <v/>
      </c>
      <c r="P9" s="58">
        <f>IF(OR(11=0,_xlfn.ISOWEEKNUM(P11)=1),YEAR(P11+3),"")</f>
        <v/>
      </c>
      <c r="Q9" s="58">
        <f>IF(OR(12=0,_xlfn.ISOWEEKNUM(Q11)=1),YEAR(Q11+3),"")</f>
        <v/>
      </c>
      <c r="R9" s="58">
        <f>IF(OR(13=0,_xlfn.ISOWEEKNUM(R11)=1),YEAR(R11+3),"")</f>
        <v/>
      </c>
      <c r="S9" s="58">
        <f>IF(OR(14=0,_xlfn.ISOWEEKNUM(S11)=1),YEAR(S11+3),"")</f>
        <v/>
      </c>
      <c r="T9" s="58">
        <f>IF(OR(15=0,_xlfn.ISOWEEKNUM(T11)=1),YEAR(T11+3),"")</f>
        <v/>
      </c>
      <c r="U9" s="58">
        <f>IF(OR(16=0,_xlfn.ISOWEEKNUM(U11)=1),YEAR(U11+3),"")</f>
        <v/>
      </c>
      <c r="V9" s="58">
        <f>IF(OR(17=0,_xlfn.ISOWEEKNUM(V11)=1),YEAR(V11+3),"")</f>
        <v/>
      </c>
      <c r="W9" s="58">
        <f>IF(OR(18=0,_xlfn.ISOWEEKNUM(W11)=1),YEAR(W11+3),"")</f>
        <v/>
      </c>
      <c r="X9" s="58">
        <f>IF(OR(19=0,_xlfn.ISOWEEKNUM(X11)=1),YEAR(X11+3),"")</f>
        <v/>
      </c>
      <c r="Y9" s="58">
        <f>IF(OR(20=0,_xlfn.ISOWEEKNUM(Y11)=1),YEAR(Y11+3),"")</f>
        <v/>
      </c>
      <c r="Z9" s="58">
        <f>IF(OR(21=0,_xlfn.ISOWEEKNUM(Z11)=1),YEAR(Z11+3),"")</f>
        <v/>
      </c>
      <c r="AA9" s="58">
        <f>IF(OR(22=0,_xlfn.ISOWEEKNUM(AA11)=1),YEAR(AA11+3),"")</f>
        <v/>
      </c>
      <c r="AB9" s="58">
        <f>IF(OR(23=0,_xlfn.ISOWEEKNUM(AB11)=1),YEAR(AB11+3),"")</f>
        <v/>
      </c>
      <c r="AC9" s="58">
        <f>IF(OR(24=0,_xlfn.ISOWEEKNUM(AC11)=1),YEAR(AC11+3),"")</f>
        <v/>
      </c>
      <c r="AD9" s="58">
        <f>IF(OR(25=0,_xlfn.ISOWEEKNUM(AD11)=1),YEAR(AD11+3),"")</f>
        <v/>
      </c>
      <c r="AE9" s="58">
        <f>IF(OR(26=0,_xlfn.ISOWEEKNUM(AE11)=1),YEAR(AE11+3),"")</f>
        <v/>
      </c>
      <c r="AF9" s="58">
        <f>IF(OR(27=0,_xlfn.ISOWEEKNUM(AF11)=1),YEAR(AF11+3),"")</f>
        <v/>
      </c>
      <c r="AG9" s="58">
        <f>IF(OR(28=0,_xlfn.ISOWEEKNUM(AG11)=1),YEAR(AG11+3),"")</f>
        <v/>
      </c>
      <c r="AH9" s="58">
        <f>IF(OR(29=0,_xlfn.ISOWEEKNUM(AH11)=1),YEAR(AH11+3),"")</f>
        <v/>
      </c>
      <c r="AI9" s="58">
        <f>IF(OR(30=0,_xlfn.ISOWEEKNUM(AI11)=1),YEAR(AI11+3),"")</f>
        <v/>
      </c>
      <c r="AJ9" s="58">
        <f>IF(OR(31=0,_xlfn.ISOWEEKNUM(AJ11)=1),YEAR(AJ11+3),"")</f>
        <v/>
      </c>
      <c r="AK9" s="58">
        <f>IF(OR(32=0,_xlfn.ISOWEEKNUM(AK11)=1),YEAR(AK11+3),"")</f>
        <v/>
      </c>
      <c r="AL9" s="58">
        <f>IF(OR(33=0,_xlfn.ISOWEEKNUM(AL11)=1),YEAR(AL11+3),"")</f>
        <v/>
      </c>
      <c r="AM9" s="58">
        <f>IF(OR(34=0,_xlfn.ISOWEEKNUM(AM11)=1),YEAR(AM11+3),"")</f>
        <v/>
      </c>
      <c r="AN9" s="58">
        <f>IF(OR(35=0,_xlfn.ISOWEEKNUM(AN11)=1),YEAR(AN11+3),"")</f>
        <v/>
      </c>
      <c r="AO9" s="58">
        <f>IF(OR(36=0,_xlfn.ISOWEEKNUM(AO11)=1),YEAR(AO11+3),"")</f>
        <v/>
      </c>
      <c r="AP9" s="58">
        <f>IF(OR(37=0,_xlfn.ISOWEEKNUM(AP11)=1),YEAR(AP11+3),"")</f>
        <v/>
      </c>
      <c r="AQ9" s="58">
        <f>IF(OR(38=0,_xlfn.ISOWEEKNUM(AQ11)=1),YEAR(AQ11+3),"")</f>
        <v/>
      </c>
      <c r="AR9" s="58">
        <f>IF(OR(39=0,_xlfn.ISOWEEKNUM(AR11)=1),YEAR(AR11+3),"")</f>
        <v/>
      </c>
      <c r="AS9" s="58">
        <f>IF(OR(40=0,_xlfn.ISOWEEKNUM(AS11)=1),YEAR(AS11+3),"")</f>
        <v/>
      </c>
      <c r="AT9" s="58">
        <f>IF(OR(41=0,_xlfn.ISOWEEKNUM(AT11)=1),YEAR(AT11+3),"")</f>
        <v/>
      </c>
      <c r="AU9" s="58">
        <f>IF(OR(42=0,_xlfn.ISOWEEKNUM(AU11)=1),YEAR(AU11+3),"")</f>
        <v/>
      </c>
      <c r="AV9" s="58">
        <f>IF(OR(43=0,_xlfn.ISOWEEKNUM(AV11)=1),YEAR(AV11+3),"")</f>
        <v/>
      </c>
      <c r="AW9" s="58">
        <f>IF(OR(44=0,_xlfn.ISOWEEKNUM(AW11)=1),YEAR(AW11+3),"")</f>
        <v/>
      </c>
      <c r="AX9" s="58">
        <f>IF(OR(45=0,_xlfn.ISOWEEKNUM(AX11)=1),YEAR(AX11+3),"")</f>
        <v/>
      </c>
      <c r="AY9" s="58">
        <f>IF(OR(46=0,_xlfn.ISOWEEKNUM(AY11)=1),YEAR(AY11+3),"")</f>
        <v/>
      </c>
      <c r="AZ9" s="58">
        <f>IF(OR(47=0,_xlfn.ISOWEEKNUM(AZ11)=1),YEAR(AZ11+3),"")</f>
        <v/>
      </c>
      <c r="BA9" s="58">
        <f>IF(OR(48=0,_xlfn.ISOWEEKNUM(BA11)=1),YEAR(BA11+3),"")</f>
        <v/>
      </c>
      <c r="BB9" s="58">
        <f>IF(OR(49=0,_xlfn.ISOWEEKNUM(BB11)=1),YEAR(BB11+3),"")</f>
        <v/>
      </c>
      <c r="BC9" s="58">
        <f>IF(OR(50=0,_xlfn.ISOWEEKNUM(BC11)=1),YEAR(BC11+3),"")</f>
        <v/>
      </c>
      <c r="BD9" s="58">
        <f>IF(OR(51=0,_xlfn.ISOWEEKNUM(BD11)=1),YEAR(BD11+3),"")</f>
        <v/>
      </c>
    </row>
    <row r="10">
      <c r="B10" s="56" t="n"/>
      <c r="C10" s="57" t="inlineStr">
        <is>
          <t>ISO week</t>
        </is>
      </c>
      <c r="D10" s="56" t="n"/>
      <c r="E10" s="34">
        <f>"W"&amp;TEXT(_xlfn.ISOWEEKNUM(E11),"00")</f>
        <v/>
      </c>
      <c r="F10" s="34">
        <f>"W"&amp;TEXT(_xlfn.ISOWEEKNUM(F11),"00")</f>
        <v/>
      </c>
      <c r="G10" s="34">
        <f>"W"&amp;TEXT(_xlfn.ISOWEEKNUM(G11),"00")</f>
        <v/>
      </c>
      <c r="H10" s="34">
        <f>"W"&amp;TEXT(_xlfn.ISOWEEKNUM(H11),"00")</f>
        <v/>
      </c>
      <c r="I10" s="34">
        <f>"W"&amp;TEXT(_xlfn.ISOWEEKNUM(I11),"00")</f>
        <v/>
      </c>
      <c r="J10" s="34">
        <f>"W"&amp;TEXT(_xlfn.ISOWEEKNUM(J11),"00")</f>
        <v/>
      </c>
      <c r="K10" s="34">
        <f>"W"&amp;TEXT(_xlfn.ISOWEEKNUM(K11),"00")</f>
        <v/>
      </c>
      <c r="L10" s="34">
        <f>"W"&amp;TEXT(_xlfn.ISOWEEKNUM(L11),"00")</f>
        <v/>
      </c>
      <c r="M10" s="34">
        <f>"W"&amp;TEXT(_xlfn.ISOWEEKNUM(M11),"00")</f>
        <v/>
      </c>
      <c r="N10" s="34">
        <f>"W"&amp;TEXT(_xlfn.ISOWEEKNUM(N11),"00")</f>
        <v/>
      </c>
      <c r="O10" s="34">
        <f>"W"&amp;TEXT(_xlfn.ISOWEEKNUM(O11),"00")</f>
        <v/>
      </c>
      <c r="P10" s="34">
        <f>"W"&amp;TEXT(_xlfn.ISOWEEKNUM(P11),"00")</f>
        <v/>
      </c>
      <c r="Q10" s="34">
        <f>"W"&amp;TEXT(_xlfn.ISOWEEKNUM(Q11),"00")</f>
        <v/>
      </c>
      <c r="R10" s="34">
        <f>"W"&amp;TEXT(_xlfn.ISOWEEKNUM(R11),"00")</f>
        <v/>
      </c>
      <c r="S10" s="34">
        <f>"W"&amp;TEXT(_xlfn.ISOWEEKNUM(S11),"00")</f>
        <v/>
      </c>
      <c r="T10" s="34">
        <f>"W"&amp;TEXT(_xlfn.ISOWEEKNUM(T11),"00")</f>
        <v/>
      </c>
      <c r="U10" s="34">
        <f>"W"&amp;TEXT(_xlfn.ISOWEEKNUM(U11),"00")</f>
        <v/>
      </c>
      <c r="V10" s="34">
        <f>"W"&amp;TEXT(_xlfn.ISOWEEKNUM(V11),"00")</f>
        <v/>
      </c>
      <c r="W10" s="34">
        <f>"W"&amp;TEXT(_xlfn.ISOWEEKNUM(W11),"00")</f>
        <v/>
      </c>
      <c r="X10" s="34">
        <f>"W"&amp;TEXT(_xlfn.ISOWEEKNUM(X11),"00")</f>
        <v/>
      </c>
      <c r="Y10" s="34">
        <f>"W"&amp;TEXT(_xlfn.ISOWEEKNUM(Y11),"00")</f>
        <v/>
      </c>
      <c r="Z10" s="34">
        <f>"W"&amp;TEXT(_xlfn.ISOWEEKNUM(Z11),"00")</f>
        <v/>
      </c>
      <c r="AA10" s="34">
        <f>"W"&amp;TEXT(_xlfn.ISOWEEKNUM(AA11),"00")</f>
        <v/>
      </c>
      <c r="AB10" s="34">
        <f>"W"&amp;TEXT(_xlfn.ISOWEEKNUM(AB11),"00")</f>
        <v/>
      </c>
      <c r="AC10" s="34">
        <f>"W"&amp;TEXT(_xlfn.ISOWEEKNUM(AC11),"00")</f>
        <v/>
      </c>
      <c r="AD10" s="34">
        <f>"W"&amp;TEXT(_xlfn.ISOWEEKNUM(AD11),"00")</f>
        <v/>
      </c>
      <c r="AE10" s="34">
        <f>"W"&amp;TEXT(_xlfn.ISOWEEKNUM(AE11),"00")</f>
        <v/>
      </c>
      <c r="AF10" s="34">
        <f>"W"&amp;TEXT(_xlfn.ISOWEEKNUM(AF11),"00")</f>
        <v/>
      </c>
      <c r="AG10" s="34">
        <f>"W"&amp;TEXT(_xlfn.ISOWEEKNUM(AG11),"00")</f>
        <v/>
      </c>
      <c r="AH10" s="34">
        <f>"W"&amp;TEXT(_xlfn.ISOWEEKNUM(AH11),"00")</f>
        <v/>
      </c>
      <c r="AI10" s="34">
        <f>"W"&amp;TEXT(_xlfn.ISOWEEKNUM(AI11),"00")</f>
        <v/>
      </c>
      <c r="AJ10" s="34">
        <f>"W"&amp;TEXT(_xlfn.ISOWEEKNUM(AJ11),"00")</f>
        <v/>
      </c>
      <c r="AK10" s="34">
        <f>"W"&amp;TEXT(_xlfn.ISOWEEKNUM(AK11),"00")</f>
        <v/>
      </c>
      <c r="AL10" s="34">
        <f>"W"&amp;TEXT(_xlfn.ISOWEEKNUM(AL11),"00")</f>
        <v/>
      </c>
      <c r="AM10" s="34">
        <f>"W"&amp;TEXT(_xlfn.ISOWEEKNUM(AM11),"00")</f>
        <v/>
      </c>
      <c r="AN10" s="34">
        <f>"W"&amp;TEXT(_xlfn.ISOWEEKNUM(AN11),"00")</f>
        <v/>
      </c>
      <c r="AO10" s="34">
        <f>"W"&amp;TEXT(_xlfn.ISOWEEKNUM(AO11),"00")</f>
        <v/>
      </c>
      <c r="AP10" s="34">
        <f>"W"&amp;TEXT(_xlfn.ISOWEEKNUM(AP11),"00")</f>
        <v/>
      </c>
      <c r="AQ10" s="34">
        <f>"W"&amp;TEXT(_xlfn.ISOWEEKNUM(AQ11),"00")</f>
        <v/>
      </c>
      <c r="AR10" s="34">
        <f>"W"&amp;TEXT(_xlfn.ISOWEEKNUM(AR11),"00")</f>
        <v/>
      </c>
      <c r="AS10" s="34">
        <f>"W"&amp;TEXT(_xlfn.ISOWEEKNUM(AS11),"00")</f>
        <v/>
      </c>
      <c r="AT10" s="34">
        <f>"W"&amp;TEXT(_xlfn.ISOWEEKNUM(AT11),"00")</f>
        <v/>
      </c>
      <c r="AU10" s="34">
        <f>"W"&amp;TEXT(_xlfn.ISOWEEKNUM(AU11),"00")</f>
        <v/>
      </c>
      <c r="AV10" s="34">
        <f>"W"&amp;TEXT(_xlfn.ISOWEEKNUM(AV11),"00")</f>
        <v/>
      </c>
      <c r="AW10" s="34">
        <f>"W"&amp;TEXT(_xlfn.ISOWEEKNUM(AW11),"00")</f>
        <v/>
      </c>
      <c r="AX10" s="34">
        <f>"W"&amp;TEXT(_xlfn.ISOWEEKNUM(AX11),"00")</f>
        <v/>
      </c>
      <c r="AY10" s="34">
        <f>"W"&amp;TEXT(_xlfn.ISOWEEKNUM(AY11),"00")</f>
        <v/>
      </c>
      <c r="AZ10" s="34">
        <f>"W"&amp;TEXT(_xlfn.ISOWEEKNUM(AZ11),"00")</f>
        <v/>
      </c>
      <c r="BA10" s="34">
        <f>"W"&amp;TEXT(_xlfn.ISOWEEKNUM(BA11),"00")</f>
        <v/>
      </c>
      <c r="BB10" s="34">
        <f>"W"&amp;TEXT(_xlfn.ISOWEEKNUM(BB11),"00")</f>
        <v/>
      </c>
      <c r="BC10" s="34">
        <f>"W"&amp;TEXT(_xlfn.ISOWEEKNUM(BC11),"00")</f>
        <v/>
      </c>
      <c r="BD10" s="34">
        <f>"W"&amp;TEXT(_xlfn.ISOWEEKNUM(BD11),"00")</f>
        <v/>
      </c>
    </row>
    <row r="11">
      <c r="B11" s="56" t="n"/>
      <c r="C11" s="57" t="inlineStr">
        <is>
          <t>Week starts (Mon)</t>
        </is>
      </c>
      <c r="D11" s="56" t="n"/>
      <c r="E11" s="59">
        <f>$D$5+0</f>
        <v/>
      </c>
      <c r="F11" s="59">
        <f>$D$5+7</f>
        <v/>
      </c>
      <c r="G11" s="59">
        <f>$D$5+14</f>
        <v/>
      </c>
      <c r="H11" s="59">
        <f>$D$5+21</f>
        <v/>
      </c>
      <c r="I11" s="59">
        <f>$D$5+28</f>
        <v/>
      </c>
      <c r="J11" s="59">
        <f>$D$5+35</f>
        <v/>
      </c>
      <c r="K11" s="59">
        <f>$D$5+42</f>
        <v/>
      </c>
      <c r="L11" s="59">
        <f>$D$5+49</f>
        <v/>
      </c>
      <c r="M11" s="59">
        <f>$D$5+56</f>
        <v/>
      </c>
      <c r="N11" s="59">
        <f>$D$5+63</f>
        <v/>
      </c>
      <c r="O11" s="59">
        <f>$D$5+70</f>
        <v/>
      </c>
      <c r="P11" s="59">
        <f>$D$5+77</f>
        <v/>
      </c>
      <c r="Q11" s="59">
        <f>$D$5+84</f>
        <v/>
      </c>
      <c r="R11" s="59">
        <f>$D$5+91</f>
        <v/>
      </c>
      <c r="S11" s="59">
        <f>$D$5+98</f>
        <v/>
      </c>
      <c r="T11" s="59">
        <f>$D$5+105</f>
        <v/>
      </c>
      <c r="U11" s="59">
        <f>$D$5+112</f>
        <v/>
      </c>
      <c r="V11" s="59">
        <f>$D$5+119</f>
        <v/>
      </c>
      <c r="W11" s="59">
        <f>$D$5+126</f>
        <v/>
      </c>
      <c r="X11" s="59">
        <f>$D$5+133</f>
        <v/>
      </c>
      <c r="Y11" s="59">
        <f>$D$5+140</f>
        <v/>
      </c>
      <c r="Z11" s="59">
        <f>$D$5+147</f>
        <v/>
      </c>
      <c r="AA11" s="59">
        <f>$D$5+154</f>
        <v/>
      </c>
      <c r="AB11" s="59">
        <f>$D$5+161</f>
        <v/>
      </c>
      <c r="AC11" s="59">
        <f>$D$5+168</f>
        <v/>
      </c>
      <c r="AD11" s="59">
        <f>$D$5+175</f>
        <v/>
      </c>
      <c r="AE11" s="59">
        <f>$D$5+182</f>
        <v/>
      </c>
      <c r="AF11" s="59">
        <f>$D$5+189</f>
        <v/>
      </c>
      <c r="AG11" s="59">
        <f>$D$5+196</f>
        <v/>
      </c>
      <c r="AH11" s="59">
        <f>$D$5+203</f>
        <v/>
      </c>
      <c r="AI11" s="59">
        <f>$D$5+210</f>
        <v/>
      </c>
      <c r="AJ11" s="59">
        <f>$D$5+217</f>
        <v/>
      </c>
      <c r="AK11" s="59">
        <f>$D$5+224</f>
        <v/>
      </c>
      <c r="AL11" s="59">
        <f>$D$5+231</f>
        <v/>
      </c>
      <c r="AM11" s="59">
        <f>$D$5+238</f>
        <v/>
      </c>
      <c r="AN11" s="59">
        <f>$D$5+245</f>
        <v/>
      </c>
      <c r="AO11" s="59">
        <f>$D$5+252</f>
        <v/>
      </c>
      <c r="AP11" s="59">
        <f>$D$5+259</f>
        <v/>
      </c>
      <c r="AQ11" s="59">
        <f>$D$5+266</f>
        <v/>
      </c>
      <c r="AR11" s="59">
        <f>$D$5+273</f>
        <v/>
      </c>
      <c r="AS11" s="59">
        <f>$D$5+280</f>
        <v/>
      </c>
      <c r="AT11" s="59">
        <f>$D$5+287</f>
        <v/>
      </c>
      <c r="AU11" s="59">
        <f>$D$5+294</f>
        <v/>
      </c>
      <c r="AV11" s="59">
        <f>$D$5+301</f>
        <v/>
      </c>
      <c r="AW11" s="59">
        <f>$D$5+308</f>
        <v/>
      </c>
      <c r="AX11" s="59">
        <f>$D$5+315</f>
        <v/>
      </c>
      <c r="AY11" s="59">
        <f>$D$5+322</f>
        <v/>
      </c>
      <c r="AZ11" s="59">
        <f>$D$5+329</f>
        <v/>
      </c>
      <c r="BA11" s="59">
        <f>$D$5+336</f>
        <v/>
      </c>
      <c r="BB11" s="59">
        <f>$D$5+343</f>
        <v/>
      </c>
      <c r="BC11" s="59">
        <f>$D$5+350</f>
        <v/>
      </c>
      <c r="BD11" s="59">
        <f>$D$5+357</f>
        <v/>
      </c>
    </row>
    <row r="12">
      <c r="D12" s="60" t="inlineStr">
        <is>
          <t>in view</t>
        </is>
      </c>
    </row>
    <row r="13" ht="20" customHeight="1">
      <c r="B13" s="61" t="inlineStr">
        <is>
          <t>Kit release</t>
        </is>
      </c>
      <c r="C13" s="8" t="inlineStr">
        <is>
          <t>W − kit lead</t>
        </is>
      </c>
      <c r="D13" s="62">
        <f>SUMIFS(tblPlan[Repeaters planned],tblPlan[Contract],$C$3,tblPlan[Final build week (Monday)],"&gt;="&amp;($D$5+7*(IFERROR(INDEX(tblContracts[Kit-release lead (weeks before final build)],MATCH($C$3,tblContracts[Contract ID],0)),0))),tblPlan[Final build week (Monday)],"&lt;"&amp;($D$5+7*(IFERROR(INDEX(tblContracts[Kit-release lead (weeks before final build)],MATCH($C$3,tblContracts[Contract ID],0)),0)+52)))</f>
        <v/>
      </c>
      <c r="E13" s="62">
        <f>IF(SUMIFS(tblPlan[Repeaters planned],tblPlan[Contract],$C$3,tblPlan[Final build week (Monday)],"&gt;="&amp;(E$11+7*(IFERROR(INDEX(tblContracts[Kit-release lead (weeks before final build)],MATCH($C$3,tblContracts[Contract ID],0)),0))),tblPlan[Final build week (Monday)],"&lt;"&amp;(E$11+7*(IFERROR(INDEX(tblContracts[Kit-release lead (weeks before final build)],MATCH($C$3,tblContracts[Contract ID],0)),0))+7))=0,"",SUMIFS(tblPlan[Repeaters planned],tblPlan[Contract],$C$3,tblPlan[Final build week (Monday)],"&gt;="&amp;(E$11+7*(IFERROR(INDEX(tblContracts[Kit-release lead (weeks before final build)],MATCH($C$3,tblContracts[Contract ID],0)),0))),tblPlan[Final build week (Monday)],"&lt;"&amp;(E$11+7*(IFERROR(INDEX(tblContracts[Kit-release lead (weeks before final build)],MATCH($C$3,tblContracts[Contract ID],0)),0))+7)))</f>
        <v/>
      </c>
      <c r="F13" s="62">
        <f>IF(SUMIFS(tblPlan[Repeaters planned],tblPlan[Contract],$C$3,tblPlan[Final build week (Monday)],"&gt;="&amp;(F$11+7*(IFERROR(INDEX(tblContracts[Kit-release lead (weeks before final build)],MATCH($C$3,tblContracts[Contract ID],0)),0))),tblPlan[Final build week (Monday)],"&lt;"&amp;(F$11+7*(IFERROR(INDEX(tblContracts[Kit-release lead (weeks before final build)],MATCH($C$3,tblContracts[Contract ID],0)),0))+7))=0,"",SUMIFS(tblPlan[Repeaters planned],tblPlan[Contract],$C$3,tblPlan[Final build week (Monday)],"&gt;="&amp;(F$11+7*(IFERROR(INDEX(tblContracts[Kit-release lead (weeks before final build)],MATCH($C$3,tblContracts[Contract ID],0)),0))),tblPlan[Final build week (Monday)],"&lt;"&amp;(F$11+7*(IFERROR(INDEX(tblContracts[Kit-release lead (weeks before final build)],MATCH($C$3,tblContracts[Contract ID],0)),0))+7)))</f>
        <v/>
      </c>
      <c r="G13" s="62">
        <f>IF(SUMIFS(tblPlan[Repeaters planned],tblPlan[Contract],$C$3,tblPlan[Final build week (Monday)],"&gt;="&amp;(G$11+7*(IFERROR(INDEX(tblContracts[Kit-release lead (weeks before final build)],MATCH($C$3,tblContracts[Contract ID],0)),0))),tblPlan[Final build week (Monday)],"&lt;"&amp;(G$11+7*(IFERROR(INDEX(tblContracts[Kit-release lead (weeks before final build)],MATCH($C$3,tblContracts[Contract ID],0)),0))+7))=0,"",SUMIFS(tblPlan[Repeaters planned],tblPlan[Contract],$C$3,tblPlan[Final build week (Monday)],"&gt;="&amp;(G$11+7*(IFERROR(INDEX(tblContracts[Kit-release lead (weeks before final build)],MATCH($C$3,tblContracts[Contract ID],0)),0))),tblPlan[Final build week (Monday)],"&lt;"&amp;(G$11+7*(IFERROR(INDEX(tblContracts[Kit-release lead (weeks before final build)],MATCH($C$3,tblContracts[Contract ID],0)),0))+7)))</f>
        <v/>
      </c>
      <c r="H13" s="62">
        <f>IF(SUMIFS(tblPlan[Repeaters planned],tblPlan[Contract],$C$3,tblPlan[Final build week (Monday)],"&gt;="&amp;(H$11+7*(IFERROR(INDEX(tblContracts[Kit-release lead (weeks before final build)],MATCH($C$3,tblContracts[Contract ID],0)),0))),tblPlan[Final build week (Monday)],"&lt;"&amp;(H$11+7*(IFERROR(INDEX(tblContracts[Kit-release lead (weeks before final build)],MATCH($C$3,tblContracts[Contract ID],0)),0))+7))=0,"",SUMIFS(tblPlan[Repeaters planned],tblPlan[Contract],$C$3,tblPlan[Final build week (Monday)],"&gt;="&amp;(H$11+7*(IFERROR(INDEX(tblContracts[Kit-release lead (weeks before final build)],MATCH($C$3,tblContracts[Contract ID],0)),0))),tblPlan[Final build week (Monday)],"&lt;"&amp;(H$11+7*(IFERROR(INDEX(tblContracts[Kit-release lead (weeks before final build)],MATCH($C$3,tblContracts[Contract ID],0)),0))+7)))</f>
        <v/>
      </c>
      <c r="I13" s="62">
        <f>IF(SUMIFS(tblPlan[Repeaters planned],tblPlan[Contract],$C$3,tblPlan[Final build week (Monday)],"&gt;="&amp;(I$11+7*(IFERROR(INDEX(tblContracts[Kit-release lead (weeks before final build)],MATCH($C$3,tblContracts[Contract ID],0)),0))),tblPlan[Final build week (Monday)],"&lt;"&amp;(I$11+7*(IFERROR(INDEX(tblContracts[Kit-release lead (weeks before final build)],MATCH($C$3,tblContracts[Contract ID],0)),0))+7))=0,"",SUMIFS(tblPlan[Repeaters planned],tblPlan[Contract],$C$3,tblPlan[Final build week (Monday)],"&gt;="&amp;(I$11+7*(IFERROR(INDEX(tblContracts[Kit-release lead (weeks before final build)],MATCH($C$3,tblContracts[Contract ID],0)),0))),tblPlan[Final build week (Monday)],"&lt;"&amp;(I$11+7*(IFERROR(INDEX(tblContracts[Kit-release lead (weeks before final build)],MATCH($C$3,tblContracts[Contract ID],0)),0))+7)))</f>
        <v/>
      </c>
      <c r="J13" s="62">
        <f>IF(SUMIFS(tblPlan[Repeaters planned],tblPlan[Contract],$C$3,tblPlan[Final build week (Monday)],"&gt;="&amp;(J$11+7*(IFERROR(INDEX(tblContracts[Kit-release lead (weeks before final build)],MATCH($C$3,tblContracts[Contract ID],0)),0))),tblPlan[Final build week (Monday)],"&lt;"&amp;(J$11+7*(IFERROR(INDEX(tblContracts[Kit-release lead (weeks before final build)],MATCH($C$3,tblContracts[Contract ID],0)),0))+7))=0,"",SUMIFS(tblPlan[Repeaters planned],tblPlan[Contract],$C$3,tblPlan[Final build week (Monday)],"&gt;="&amp;(J$11+7*(IFERROR(INDEX(tblContracts[Kit-release lead (weeks before final build)],MATCH($C$3,tblContracts[Contract ID],0)),0))),tblPlan[Final build week (Monday)],"&lt;"&amp;(J$11+7*(IFERROR(INDEX(tblContracts[Kit-release lead (weeks before final build)],MATCH($C$3,tblContracts[Contract ID],0)),0))+7)))</f>
        <v/>
      </c>
      <c r="K13" s="62">
        <f>IF(SUMIFS(tblPlan[Repeaters planned],tblPlan[Contract],$C$3,tblPlan[Final build week (Monday)],"&gt;="&amp;(K$11+7*(IFERROR(INDEX(tblContracts[Kit-release lead (weeks before final build)],MATCH($C$3,tblContracts[Contract ID],0)),0))),tblPlan[Final build week (Monday)],"&lt;"&amp;(K$11+7*(IFERROR(INDEX(tblContracts[Kit-release lead (weeks before final build)],MATCH($C$3,tblContracts[Contract ID],0)),0))+7))=0,"",SUMIFS(tblPlan[Repeaters planned],tblPlan[Contract],$C$3,tblPlan[Final build week (Monday)],"&gt;="&amp;(K$11+7*(IFERROR(INDEX(tblContracts[Kit-release lead (weeks before final build)],MATCH($C$3,tblContracts[Contract ID],0)),0))),tblPlan[Final build week (Monday)],"&lt;"&amp;(K$11+7*(IFERROR(INDEX(tblContracts[Kit-release lead (weeks before final build)],MATCH($C$3,tblContracts[Contract ID],0)),0))+7)))</f>
        <v/>
      </c>
      <c r="L13" s="62">
        <f>IF(SUMIFS(tblPlan[Repeaters planned],tblPlan[Contract],$C$3,tblPlan[Final build week (Monday)],"&gt;="&amp;(L$11+7*(IFERROR(INDEX(tblContracts[Kit-release lead (weeks before final build)],MATCH($C$3,tblContracts[Contract ID],0)),0))),tblPlan[Final build week (Monday)],"&lt;"&amp;(L$11+7*(IFERROR(INDEX(tblContracts[Kit-release lead (weeks before final build)],MATCH($C$3,tblContracts[Contract ID],0)),0))+7))=0,"",SUMIFS(tblPlan[Repeaters planned],tblPlan[Contract],$C$3,tblPlan[Final build week (Monday)],"&gt;="&amp;(L$11+7*(IFERROR(INDEX(tblContracts[Kit-release lead (weeks before final build)],MATCH($C$3,tblContracts[Contract ID],0)),0))),tblPlan[Final build week (Monday)],"&lt;"&amp;(L$11+7*(IFERROR(INDEX(tblContracts[Kit-release lead (weeks before final build)],MATCH($C$3,tblContracts[Contract ID],0)),0))+7)))</f>
        <v/>
      </c>
      <c r="M13" s="62">
        <f>IF(SUMIFS(tblPlan[Repeaters planned],tblPlan[Contract],$C$3,tblPlan[Final build week (Monday)],"&gt;="&amp;(M$11+7*(IFERROR(INDEX(tblContracts[Kit-release lead (weeks before final build)],MATCH($C$3,tblContracts[Contract ID],0)),0))),tblPlan[Final build week (Monday)],"&lt;"&amp;(M$11+7*(IFERROR(INDEX(tblContracts[Kit-release lead (weeks before final build)],MATCH($C$3,tblContracts[Contract ID],0)),0))+7))=0,"",SUMIFS(tblPlan[Repeaters planned],tblPlan[Contract],$C$3,tblPlan[Final build week (Monday)],"&gt;="&amp;(M$11+7*(IFERROR(INDEX(tblContracts[Kit-release lead (weeks before final build)],MATCH($C$3,tblContracts[Contract ID],0)),0))),tblPlan[Final build week (Monday)],"&lt;"&amp;(M$11+7*(IFERROR(INDEX(tblContracts[Kit-release lead (weeks before final build)],MATCH($C$3,tblContracts[Contract ID],0)),0))+7)))</f>
        <v/>
      </c>
      <c r="N13" s="62">
        <f>IF(SUMIFS(tblPlan[Repeaters planned],tblPlan[Contract],$C$3,tblPlan[Final build week (Monday)],"&gt;="&amp;(N$11+7*(IFERROR(INDEX(tblContracts[Kit-release lead (weeks before final build)],MATCH($C$3,tblContracts[Contract ID],0)),0))),tblPlan[Final build week (Monday)],"&lt;"&amp;(N$11+7*(IFERROR(INDEX(tblContracts[Kit-release lead (weeks before final build)],MATCH($C$3,tblContracts[Contract ID],0)),0))+7))=0,"",SUMIFS(tblPlan[Repeaters planned],tblPlan[Contract],$C$3,tblPlan[Final build week (Monday)],"&gt;="&amp;(N$11+7*(IFERROR(INDEX(tblContracts[Kit-release lead (weeks before final build)],MATCH($C$3,tblContracts[Contract ID],0)),0))),tblPlan[Final build week (Monday)],"&lt;"&amp;(N$11+7*(IFERROR(INDEX(tblContracts[Kit-release lead (weeks before final build)],MATCH($C$3,tblContracts[Contract ID],0)),0))+7)))</f>
        <v/>
      </c>
      <c r="O13" s="62">
        <f>IF(SUMIFS(tblPlan[Repeaters planned],tblPlan[Contract],$C$3,tblPlan[Final build week (Monday)],"&gt;="&amp;(O$11+7*(IFERROR(INDEX(tblContracts[Kit-release lead (weeks before final build)],MATCH($C$3,tblContracts[Contract ID],0)),0))),tblPlan[Final build week (Monday)],"&lt;"&amp;(O$11+7*(IFERROR(INDEX(tblContracts[Kit-release lead (weeks before final build)],MATCH($C$3,tblContracts[Contract ID],0)),0))+7))=0,"",SUMIFS(tblPlan[Repeaters planned],tblPlan[Contract],$C$3,tblPlan[Final build week (Monday)],"&gt;="&amp;(O$11+7*(IFERROR(INDEX(tblContracts[Kit-release lead (weeks before final build)],MATCH($C$3,tblContracts[Contract ID],0)),0))),tblPlan[Final build week (Monday)],"&lt;"&amp;(O$11+7*(IFERROR(INDEX(tblContracts[Kit-release lead (weeks before final build)],MATCH($C$3,tblContracts[Contract ID],0)),0))+7)))</f>
        <v/>
      </c>
      <c r="P13" s="62">
        <f>IF(SUMIFS(tblPlan[Repeaters planned],tblPlan[Contract],$C$3,tblPlan[Final build week (Monday)],"&gt;="&amp;(P$11+7*(IFERROR(INDEX(tblContracts[Kit-release lead (weeks before final build)],MATCH($C$3,tblContracts[Contract ID],0)),0))),tblPlan[Final build week (Monday)],"&lt;"&amp;(P$11+7*(IFERROR(INDEX(tblContracts[Kit-release lead (weeks before final build)],MATCH($C$3,tblContracts[Contract ID],0)),0))+7))=0,"",SUMIFS(tblPlan[Repeaters planned],tblPlan[Contract],$C$3,tblPlan[Final build week (Monday)],"&gt;="&amp;(P$11+7*(IFERROR(INDEX(tblContracts[Kit-release lead (weeks before final build)],MATCH($C$3,tblContracts[Contract ID],0)),0))),tblPlan[Final build week (Monday)],"&lt;"&amp;(P$11+7*(IFERROR(INDEX(tblContracts[Kit-release lead (weeks before final build)],MATCH($C$3,tblContracts[Contract ID],0)),0))+7)))</f>
        <v/>
      </c>
      <c r="Q13" s="62">
        <f>IF(SUMIFS(tblPlan[Repeaters planned],tblPlan[Contract],$C$3,tblPlan[Final build week (Monday)],"&gt;="&amp;(Q$11+7*(IFERROR(INDEX(tblContracts[Kit-release lead (weeks before final build)],MATCH($C$3,tblContracts[Contract ID],0)),0))),tblPlan[Final build week (Monday)],"&lt;"&amp;(Q$11+7*(IFERROR(INDEX(tblContracts[Kit-release lead (weeks before final build)],MATCH($C$3,tblContracts[Contract ID],0)),0))+7))=0,"",SUMIFS(tblPlan[Repeaters planned],tblPlan[Contract],$C$3,tblPlan[Final build week (Monday)],"&gt;="&amp;(Q$11+7*(IFERROR(INDEX(tblContracts[Kit-release lead (weeks before final build)],MATCH($C$3,tblContracts[Contract ID],0)),0))),tblPlan[Final build week (Monday)],"&lt;"&amp;(Q$11+7*(IFERROR(INDEX(tblContracts[Kit-release lead (weeks before final build)],MATCH($C$3,tblContracts[Contract ID],0)),0))+7)))</f>
        <v/>
      </c>
      <c r="R13" s="62">
        <f>IF(SUMIFS(tblPlan[Repeaters planned],tblPlan[Contract],$C$3,tblPlan[Final build week (Monday)],"&gt;="&amp;(R$11+7*(IFERROR(INDEX(tblContracts[Kit-release lead (weeks before final build)],MATCH($C$3,tblContracts[Contract ID],0)),0))),tblPlan[Final build week (Monday)],"&lt;"&amp;(R$11+7*(IFERROR(INDEX(tblContracts[Kit-release lead (weeks before final build)],MATCH($C$3,tblContracts[Contract ID],0)),0))+7))=0,"",SUMIFS(tblPlan[Repeaters planned],tblPlan[Contract],$C$3,tblPlan[Final build week (Monday)],"&gt;="&amp;(R$11+7*(IFERROR(INDEX(tblContracts[Kit-release lead (weeks before final build)],MATCH($C$3,tblContracts[Contract ID],0)),0))),tblPlan[Final build week (Monday)],"&lt;"&amp;(R$11+7*(IFERROR(INDEX(tblContracts[Kit-release lead (weeks before final build)],MATCH($C$3,tblContracts[Contract ID],0)),0))+7)))</f>
        <v/>
      </c>
      <c r="S13" s="62">
        <f>IF(SUMIFS(tblPlan[Repeaters planned],tblPlan[Contract],$C$3,tblPlan[Final build week (Monday)],"&gt;="&amp;(S$11+7*(IFERROR(INDEX(tblContracts[Kit-release lead (weeks before final build)],MATCH($C$3,tblContracts[Contract ID],0)),0))),tblPlan[Final build week (Monday)],"&lt;"&amp;(S$11+7*(IFERROR(INDEX(tblContracts[Kit-release lead (weeks before final build)],MATCH($C$3,tblContracts[Contract ID],0)),0))+7))=0,"",SUMIFS(tblPlan[Repeaters planned],tblPlan[Contract],$C$3,tblPlan[Final build week (Monday)],"&gt;="&amp;(S$11+7*(IFERROR(INDEX(tblContracts[Kit-release lead (weeks before final build)],MATCH($C$3,tblContracts[Contract ID],0)),0))),tblPlan[Final build week (Monday)],"&lt;"&amp;(S$11+7*(IFERROR(INDEX(tblContracts[Kit-release lead (weeks before final build)],MATCH($C$3,tblContracts[Contract ID],0)),0))+7)))</f>
        <v/>
      </c>
      <c r="T13" s="62">
        <f>IF(SUMIFS(tblPlan[Repeaters planned],tblPlan[Contract],$C$3,tblPlan[Final build week (Monday)],"&gt;="&amp;(T$11+7*(IFERROR(INDEX(tblContracts[Kit-release lead (weeks before final build)],MATCH($C$3,tblContracts[Contract ID],0)),0))),tblPlan[Final build week (Monday)],"&lt;"&amp;(T$11+7*(IFERROR(INDEX(tblContracts[Kit-release lead (weeks before final build)],MATCH($C$3,tblContracts[Contract ID],0)),0))+7))=0,"",SUMIFS(tblPlan[Repeaters planned],tblPlan[Contract],$C$3,tblPlan[Final build week (Monday)],"&gt;="&amp;(T$11+7*(IFERROR(INDEX(tblContracts[Kit-release lead (weeks before final build)],MATCH($C$3,tblContracts[Contract ID],0)),0))),tblPlan[Final build week (Monday)],"&lt;"&amp;(T$11+7*(IFERROR(INDEX(tblContracts[Kit-release lead (weeks before final build)],MATCH($C$3,tblContracts[Contract ID],0)),0))+7)))</f>
        <v/>
      </c>
      <c r="U13" s="62">
        <f>IF(SUMIFS(tblPlan[Repeaters planned],tblPlan[Contract],$C$3,tblPlan[Final build week (Monday)],"&gt;="&amp;(U$11+7*(IFERROR(INDEX(tblContracts[Kit-release lead (weeks before final build)],MATCH($C$3,tblContracts[Contract ID],0)),0))),tblPlan[Final build week (Monday)],"&lt;"&amp;(U$11+7*(IFERROR(INDEX(tblContracts[Kit-release lead (weeks before final build)],MATCH($C$3,tblContracts[Contract ID],0)),0))+7))=0,"",SUMIFS(tblPlan[Repeaters planned],tblPlan[Contract],$C$3,tblPlan[Final build week (Monday)],"&gt;="&amp;(U$11+7*(IFERROR(INDEX(tblContracts[Kit-release lead (weeks before final build)],MATCH($C$3,tblContracts[Contract ID],0)),0))),tblPlan[Final build week (Monday)],"&lt;"&amp;(U$11+7*(IFERROR(INDEX(tblContracts[Kit-release lead (weeks before final build)],MATCH($C$3,tblContracts[Contract ID],0)),0))+7)))</f>
        <v/>
      </c>
      <c r="V13" s="62">
        <f>IF(SUMIFS(tblPlan[Repeaters planned],tblPlan[Contract],$C$3,tblPlan[Final build week (Monday)],"&gt;="&amp;(V$11+7*(IFERROR(INDEX(tblContracts[Kit-release lead (weeks before final build)],MATCH($C$3,tblContracts[Contract ID],0)),0))),tblPlan[Final build week (Monday)],"&lt;"&amp;(V$11+7*(IFERROR(INDEX(tblContracts[Kit-release lead (weeks before final build)],MATCH($C$3,tblContracts[Contract ID],0)),0))+7))=0,"",SUMIFS(tblPlan[Repeaters planned],tblPlan[Contract],$C$3,tblPlan[Final build week (Monday)],"&gt;="&amp;(V$11+7*(IFERROR(INDEX(tblContracts[Kit-release lead (weeks before final build)],MATCH($C$3,tblContracts[Contract ID],0)),0))),tblPlan[Final build week (Monday)],"&lt;"&amp;(V$11+7*(IFERROR(INDEX(tblContracts[Kit-release lead (weeks before final build)],MATCH($C$3,tblContracts[Contract ID],0)),0))+7)))</f>
        <v/>
      </c>
      <c r="W13" s="62">
        <f>IF(SUMIFS(tblPlan[Repeaters planned],tblPlan[Contract],$C$3,tblPlan[Final build week (Monday)],"&gt;="&amp;(W$11+7*(IFERROR(INDEX(tblContracts[Kit-release lead (weeks before final build)],MATCH($C$3,tblContracts[Contract ID],0)),0))),tblPlan[Final build week (Monday)],"&lt;"&amp;(W$11+7*(IFERROR(INDEX(tblContracts[Kit-release lead (weeks before final build)],MATCH($C$3,tblContracts[Contract ID],0)),0))+7))=0,"",SUMIFS(tblPlan[Repeaters planned],tblPlan[Contract],$C$3,tblPlan[Final build week (Monday)],"&gt;="&amp;(W$11+7*(IFERROR(INDEX(tblContracts[Kit-release lead (weeks before final build)],MATCH($C$3,tblContracts[Contract ID],0)),0))),tblPlan[Final build week (Monday)],"&lt;"&amp;(W$11+7*(IFERROR(INDEX(tblContracts[Kit-release lead (weeks before final build)],MATCH($C$3,tblContracts[Contract ID],0)),0))+7)))</f>
        <v/>
      </c>
      <c r="X13" s="62">
        <f>IF(SUMIFS(tblPlan[Repeaters planned],tblPlan[Contract],$C$3,tblPlan[Final build week (Monday)],"&gt;="&amp;(X$11+7*(IFERROR(INDEX(tblContracts[Kit-release lead (weeks before final build)],MATCH($C$3,tblContracts[Contract ID],0)),0))),tblPlan[Final build week (Monday)],"&lt;"&amp;(X$11+7*(IFERROR(INDEX(tblContracts[Kit-release lead (weeks before final build)],MATCH($C$3,tblContracts[Contract ID],0)),0))+7))=0,"",SUMIFS(tblPlan[Repeaters planned],tblPlan[Contract],$C$3,tblPlan[Final build week (Monday)],"&gt;="&amp;(X$11+7*(IFERROR(INDEX(tblContracts[Kit-release lead (weeks before final build)],MATCH($C$3,tblContracts[Contract ID],0)),0))),tblPlan[Final build week (Monday)],"&lt;"&amp;(X$11+7*(IFERROR(INDEX(tblContracts[Kit-release lead (weeks before final build)],MATCH($C$3,tblContracts[Contract ID],0)),0))+7)))</f>
        <v/>
      </c>
      <c r="Y13" s="62">
        <f>IF(SUMIFS(tblPlan[Repeaters planned],tblPlan[Contract],$C$3,tblPlan[Final build week (Monday)],"&gt;="&amp;(Y$11+7*(IFERROR(INDEX(tblContracts[Kit-release lead (weeks before final build)],MATCH($C$3,tblContracts[Contract ID],0)),0))),tblPlan[Final build week (Monday)],"&lt;"&amp;(Y$11+7*(IFERROR(INDEX(tblContracts[Kit-release lead (weeks before final build)],MATCH($C$3,tblContracts[Contract ID],0)),0))+7))=0,"",SUMIFS(tblPlan[Repeaters planned],tblPlan[Contract],$C$3,tblPlan[Final build week (Monday)],"&gt;="&amp;(Y$11+7*(IFERROR(INDEX(tblContracts[Kit-release lead (weeks before final build)],MATCH($C$3,tblContracts[Contract ID],0)),0))),tblPlan[Final build week (Monday)],"&lt;"&amp;(Y$11+7*(IFERROR(INDEX(tblContracts[Kit-release lead (weeks before final build)],MATCH($C$3,tblContracts[Contract ID],0)),0))+7)))</f>
        <v/>
      </c>
      <c r="Z13" s="62">
        <f>IF(SUMIFS(tblPlan[Repeaters planned],tblPlan[Contract],$C$3,tblPlan[Final build week (Monday)],"&gt;="&amp;(Z$11+7*(IFERROR(INDEX(tblContracts[Kit-release lead (weeks before final build)],MATCH($C$3,tblContracts[Contract ID],0)),0))),tblPlan[Final build week (Monday)],"&lt;"&amp;(Z$11+7*(IFERROR(INDEX(tblContracts[Kit-release lead (weeks before final build)],MATCH($C$3,tblContracts[Contract ID],0)),0))+7))=0,"",SUMIFS(tblPlan[Repeaters planned],tblPlan[Contract],$C$3,tblPlan[Final build week (Monday)],"&gt;="&amp;(Z$11+7*(IFERROR(INDEX(tblContracts[Kit-release lead (weeks before final build)],MATCH($C$3,tblContracts[Contract ID],0)),0))),tblPlan[Final build week (Monday)],"&lt;"&amp;(Z$11+7*(IFERROR(INDEX(tblContracts[Kit-release lead (weeks before final build)],MATCH($C$3,tblContracts[Contract ID],0)),0))+7)))</f>
        <v/>
      </c>
      <c r="AA13" s="62">
        <f>IF(SUMIFS(tblPlan[Repeaters planned],tblPlan[Contract],$C$3,tblPlan[Final build week (Monday)],"&gt;="&amp;(AA$11+7*(IFERROR(INDEX(tblContracts[Kit-release lead (weeks before final build)],MATCH($C$3,tblContracts[Contract ID],0)),0))),tblPlan[Final build week (Monday)],"&lt;"&amp;(AA$11+7*(IFERROR(INDEX(tblContracts[Kit-release lead (weeks before final build)],MATCH($C$3,tblContracts[Contract ID],0)),0))+7))=0,"",SUMIFS(tblPlan[Repeaters planned],tblPlan[Contract],$C$3,tblPlan[Final build week (Monday)],"&gt;="&amp;(AA$11+7*(IFERROR(INDEX(tblContracts[Kit-release lead (weeks before final build)],MATCH($C$3,tblContracts[Contract ID],0)),0))),tblPlan[Final build week (Monday)],"&lt;"&amp;(AA$11+7*(IFERROR(INDEX(tblContracts[Kit-release lead (weeks before final build)],MATCH($C$3,tblContracts[Contract ID],0)),0))+7)))</f>
        <v/>
      </c>
      <c r="AB13" s="62">
        <f>IF(SUMIFS(tblPlan[Repeaters planned],tblPlan[Contract],$C$3,tblPlan[Final build week (Monday)],"&gt;="&amp;(AB$11+7*(IFERROR(INDEX(tblContracts[Kit-release lead (weeks before final build)],MATCH($C$3,tblContracts[Contract ID],0)),0))),tblPlan[Final build week (Monday)],"&lt;"&amp;(AB$11+7*(IFERROR(INDEX(tblContracts[Kit-release lead (weeks before final build)],MATCH($C$3,tblContracts[Contract ID],0)),0))+7))=0,"",SUMIFS(tblPlan[Repeaters planned],tblPlan[Contract],$C$3,tblPlan[Final build week (Monday)],"&gt;="&amp;(AB$11+7*(IFERROR(INDEX(tblContracts[Kit-release lead (weeks before final build)],MATCH($C$3,tblContracts[Contract ID],0)),0))),tblPlan[Final build week (Monday)],"&lt;"&amp;(AB$11+7*(IFERROR(INDEX(tblContracts[Kit-release lead (weeks before final build)],MATCH($C$3,tblContracts[Contract ID],0)),0))+7)))</f>
        <v/>
      </c>
      <c r="AC13" s="62">
        <f>IF(SUMIFS(tblPlan[Repeaters planned],tblPlan[Contract],$C$3,tblPlan[Final build week (Monday)],"&gt;="&amp;(AC$11+7*(IFERROR(INDEX(tblContracts[Kit-release lead (weeks before final build)],MATCH($C$3,tblContracts[Contract ID],0)),0))),tblPlan[Final build week (Monday)],"&lt;"&amp;(AC$11+7*(IFERROR(INDEX(tblContracts[Kit-release lead (weeks before final build)],MATCH($C$3,tblContracts[Contract ID],0)),0))+7))=0,"",SUMIFS(tblPlan[Repeaters planned],tblPlan[Contract],$C$3,tblPlan[Final build week (Monday)],"&gt;="&amp;(AC$11+7*(IFERROR(INDEX(tblContracts[Kit-release lead (weeks before final build)],MATCH($C$3,tblContracts[Contract ID],0)),0))),tblPlan[Final build week (Monday)],"&lt;"&amp;(AC$11+7*(IFERROR(INDEX(tblContracts[Kit-release lead (weeks before final build)],MATCH($C$3,tblContracts[Contract ID],0)),0))+7)))</f>
        <v/>
      </c>
      <c r="AD13" s="62">
        <f>IF(SUMIFS(tblPlan[Repeaters planned],tblPlan[Contract],$C$3,tblPlan[Final build week (Monday)],"&gt;="&amp;(AD$11+7*(IFERROR(INDEX(tblContracts[Kit-release lead (weeks before final build)],MATCH($C$3,tblContracts[Contract ID],0)),0))),tblPlan[Final build week (Monday)],"&lt;"&amp;(AD$11+7*(IFERROR(INDEX(tblContracts[Kit-release lead (weeks before final build)],MATCH($C$3,tblContracts[Contract ID],0)),0))+7))=0,"",SUMIFS(tblPlan[Repeaters planned],tblPlan[Contract],$C$3,tblPlan[Final build week (Monday)],"&gt;="&amp;(AD$11+7*(IFERROR(INDEX(tblContracts[Kit-release lead (weeks before final build)],MATCH($C$3,tblContracts[Contract ID],0)),0))),tblPlan[Final build week (Monday)],"&lt;"&amp;(AD$11+7*(IFERROR(INDEX(tblContracts[Kit-release lead (weeks before final build)],MATCH($C$3,tblContracts[Contract ID],0)),0))+7)))</f>
        <v/>
      </c>
      <c r="AE13" s="62">
        <f>IF(SUMIFS(tblPlan[Repeaters planned],tblPlan[Contract],$C$3,tblPlan[Final build week (Monday)],"&gt;="&amp;(AE$11+7*(IFERROR(INDEX(tblContracts[Kit-release lead (weeks before final build)],MATCH($C$3,tblContracts[Contract ID],0)),0))),tblPlan[Final build week (Monday)],"&lt;"&amp;(AE$11+7*(IFERROR(INDEX(tblContracts[Kit-release lead (weeks before final build)],MATCH($C$3,tblContracts[Contract ID],0)),0))+7))=0,"",SUMIFS(tblPlan[Repeaters planned],tblPlan[Contract],$C$3,tblPlan[Final build week (Monday)],"&gt;="&amp;(AE$11+7*(IFERROR(INDEX(tblContracts[Kit-release lead (weeks before final build)],MATCH($C$3,tblContracts[Contract ID],0)),0))),tblPlan[Final build week (Monday)],"&lt;"&amp;(AE$11+7*(IFERROR(INDEX(tblContracts[Kit-release lead (weeks before final build)],MATCH($C$3,tblContracts[Contract ID],0)),0))+7)))</f>
        <v/>
      </c>
      <c r="AF13" s="62">
        <f>IF(SUMIFS(tblPlan[Repeaters planned],tblPlan[Contract],$C$3,tblPlan[Final build week (Monday)],"&gt;="&amp;(AF$11+7*(IFERROR(INDEX(tblContracts[Kit-release lead (weeks before final build)],MATCH($C$3,tblContracts[Contract ID],0)),0))),tblPlan[Final build week (Monday)],"&lt;"&amp;(AF$11+7*(IFERROR(INDEX(tblContracts[Kit-release lead (weeks before final build)],MATCH($C$3,tblContracts[Contract ID],0)),0))+7))=0,"",SUMIFS(tblPlan[Repeaters planned],tblPlan[Contract],$C$3,tblPlan[Final build week (Monday)],"&gt;="&amp;(AF$11+7*(IFERROR(INDEX(tblContracts[Kit-release lead (weeks before final build)],MATCH($C$3,tblContracts[Contract ID],0)),0))),tblPlan[Final build week (Monday)],"&lt;"&amp;(AF$11+7*(IFERROR(INDEX(tblContracts[Kit-release lead (weeks before final build)],MATCH($C$3,tblContracts[Contract ID],0)),0))+7)))</f>
        <v/>
      </c>
      <c r="AG13" s="62">
        <f>IF(SUMIFS(tblPlan[Repeaters planned],tblPlan[Contract],$C$3,tblPlan[Final build week (Monday)],"&gt;="&amp;(AG$11+7*(IFERROR(INDEX(tblContracts[Kit-release lead (weeks before final build)],MATCH($C$3,tblContracts[Contract ID],0)),0))),tblPlan[Final build week (Monday)],"&lt;"&amp;(AG$11+7*(IFERROR(INDEX(tblContracts[Kit-release lead (weeks before final build)],MATCH($C$3,tblContracts[Contract ID],0)),0))+7))=0,"",SUMIFS(tblPlan[Repeaters planned],tblPlan[Contract],$C$3,tblPlan[Final build week (Monday)],"&gt;="&amp;(AG$11+7*(IFERROR(INDEX(tblContracts[Kit-release lead (weeks before final build)],MATCH($C$3,tblContracts[Contract ID],0)),0))),tblPlan[Final build week (Monday)],"&lt;"&amp;(AG$11+7*(IFERROR(INDEX(tblContracts[Kit-release lead (weeks before final build)],MATCH($C$3,tblContracts[Contract ID],0)),0))+7)))</f>
        <v/>
      </c>
      <c r="AH13" s="62">
        <f>IF(SUMIFS(tblPlan[Repeaters planned],tblPlan[Contract],$C$3,tblPlan[Final build week (Monday)],"&gt;="&amp;(AH$11+7*(IFERROR(INDEX(tblContracts[Kit-release lead (weeks before final build)],MATCH($C$3,tblContracts[Contract ID],0)),0))),tblPlan[Final build week (Monday)],"&lt;"&amp;(AH$11+7*(IFERROR(INDEX(tblContracts[Kit-release lead (weeks before final build)],MATCH($C$3,tblContracts[Contract ID],0)),0))+7))=0,"",SUMIFS(tblPlan[Repeaters planned],tblPlan[Contract],$C$3,tblPlan[Final build week (Monday)],"&gt;="&amp;(AH$11+7*(IFERROR(INDEX(tblContracts[Kit-release lead (weeks before final build)],MATCH($C$3,tblContracts[Contract ID],0)),0))),tblPlan[Final build week (Monday)],"&lt;"&amp;(AH$11+7*(IFERROR(INDEX(tblContracts[Kit-release lead (weeks before final build)],MATCH($C$3,tblContracts[Contract ID],0)),0))+7)))</f>
        <v/>
      </c>
      <c r="AI13" s="62">
        <f>IF(SUMIFS(tblPlan[Repeaters planned],tblPlan[Contract],$C$3,tblPlan[Final build week (Monday)],"&gt;="&amp;(AI$11+7*(IFERROR(INDEX(tblContracts[Kit-release lead (weeks before final build)],MATCH($C$3,tblContracts[Contract ID],0)),0))),tblPlan[Final build week (Monday)],"&lt;"&amp;(AI$11+7*(IFERROR(INDEX(tblContracts[Kit-release lead (weeks before final build)],MATCH($C$3,tblContracts[Contract ID],0)),0))+7))=0,"",SUMIFS(tblPlan[Repeaters planned],tblPlan[Contract],$C$3,tblPlan[Final build week (Monday)],"&gt;="&amp;(AI$11+7*(IFERROR(INDEX(tblContracts[Kit-release lead (weeks before final build)],MATCH($C$3,tblContracts[Contract ID],0)),0))),tblPlan[Final build week (Monday)],"&lt;"&amp;(AI$11+7*(IFERROR(INDEX(tblContracts[Kit-release lead (weeks before final build)],MATCH($C$3,tblContracts[Contract ID],0)),0))+7)))</f>
        <v/>
      </c>
      <c r="AJ13" s="62">
        <f>IF(SUMIFS(tblPlan[Repeaters planned],tblPlan[Contract],$C$3,tblPlan[Final build week (Monday)],"&gt;="&amp;(AJ$11+7*(IFERROR(INDEX(tblContracts[Kit-release lead (weeks before final build)],MATCH($C$3,tblContracts[Contract ID],0)),0))),tblPlan[Final build week (Monday)],"&lt;"&amp;(AJ$11+7*(IFERROR(INDEX(tblContracts[Kit-release lead (weeks before final build)],MATCH($C$3,tblContracts[Contract ID],0)),0))+7))=0,"",SUMIFS(tblPlan[Repeaters planned],tblPlan[Contract],$C$3,tblPlan[Final build week (Monday)],"&gt;="&amp;(AJ$11+7*(IFERROR(INDEX(tblContracts[Kit-release lead (weeks before final build)],MATCH($C$3,tblContracts[Contract ID],0)),0))),tblPlan[Final build week (Monday)],"&lt;"&amp;(AJ$11+7*(IFERROR(INDEX(tblContracts[Kit-release lead (weeks before final build)],MATCH($C$3,tblContracts[Contract ID],0)),0))+7)))</f>
        <v/>
      </c>
      <c r="AK13" s="62">
        <f>IF(SUMIFS(tblPlan[Repeaters planned],tblPlan[Contract],$C$3,tblPlan[Final build week (Monday)],"&gt;="&amp;(AK$11+7*(IFERROR(INDEX(tblContracts[Kit-release lead (weeks before final build)],MATCH($C$3,tblContracts[Contract ID],0)),0))),tblPlan[Final build week (Monday)],"&lt;"&amp;(AK$11+7*(IFERROR(INDEX(tblContracts[Kit-release lead (weeks before final build)],MATCH($C$3,tblContracts[Contract ID],0)),0))+7))=0,"",SUMIFS(tblPlan[Repeaters planned],tblPlan[Contract],$C$3,tblPlan[Final build week (Monday)],"&gt;="&amp;(AK$11+7*(IFERROR(INDEX(tblContracts[Kit-release lead (weeks before final build)],MATCH($C$3,tblContracts[Contract ID],0)),0))),tblPlan[Final build week (Monday)],"&lt;"&amp;(AK$11+7*(IFERROR(INDEX(tblContracts[Kit-release lead (weeks before final build)],MATCH($C$3,tblContracts[Contract ID],0)),0))+7)))</f>
        <v/>
      </c>
      <c r="AL13" s="62">
        <f>IF(SUMIFS(tblPlan[Repeaters planned],tblPlan[Contract],$C$3,tblPlan[Final build week (Monday)],"&gt;="&amp;(AL$11+7*(IFERROR(INDEX(tblContracts[Kit-release lead (weeks before final build)],MATCH($C$3,tblContracts[Contract ID],0)),0))),tblPlan[Final build week (Monday)],"&lt;"&amp;(AL$11+7*(IFERROR(INDEX(tblContracts[Kit-release lead (weeks before final build)],MATCH($C$3,tblContracts[Contract ID],0)),0))+7))=0,"",SUMIFS(tblPlan[Repeaters planned],tblPlan[Contract],$C$3,tblPlan[Final build week (Monday)],"&gt;="&amp;(AL$11+7*(IFERROR(INDEX(tblContracts[Kit-release lead (weeks before final build)],MATCH($C$3,tblContracts[Contract ID],0)),0))),tblPlan[Final build week (Monday)],"&lt;"&amp;(AL$11+7*(IFERROR(INDEX(tblContracts[Kit-release lead (weeks before final build)],MATCH($C$3,tblContracts[Contract ID],0)),0))+7)))</f>
        <v/>
      </c>
      <c r="AM13" s="62">
        <f>IF(SUMIFS(tblPlan[Repeaters planned],tblPlan[Contract],$C$3,tblPlan[Final build week (Monday)],"&gt;="&amp;(AM$11+7*(IFERROR(INDEX(tblContracts[Kit-release lead (weeks before final build)],MATCH($C$3,tblContracts[Contract ID],0)),0))),tblPlan[Final build week (Monday)],"&lt;"&amp;(AM$11+7*(IFERROR(INDEX(tblContracts[Kit-release lead (weeks before final build)],MATCH($C$3,tblContracts[Contract ID],0)),0))+7))=0,"",SUMIFS(tblPlan[Repeaters planned],tblPlan[Contract],$C$3,tblPlan[Final build week (Monday)],"&gt;="&amp;(AM$11+7*(IFERROR(INDEX(tblContracts[Kit-release lead (weeks before final build)],MATCH($C$3,tblContracts[Contract ID],0)),0))),tblPlan[Final build week (Monday)],"&lt;"&amp;(AM$11+7*(IFERROR(INDEX(tblContracts[Kit-release lead (weeks before final build)],MATCH($C$3,tblContracts[Contract ID],0)),0))+7)))</f>
        <v/>
      </c>
      <c r="AN13" s="62">
        <f>IF(SUMIFS(tblPlan[Repeaters planned],tblPlan[Contract],$C$3,tblPlan[Final build week (Monday)],"&gt;="&amp;(AN$11+7*(IFERROR(INDEX(tblContracts[Kit-release lead (weeks before final build)],MATCH($C$3,tblContracts[Contract ID],0)),0))),tblPlan[Final build week (Monday)],"&lt;"&amp;(AN$11+7*(IFERROR(INDEX(tblContracts[Kit-release lead (weeks before final build)],MATCH($C$3,tblContracts[Contract ID],0)),0))+7))=0,"",SUMIFS(tblPlan[Repeaters planned],tblPlan[Contract],$C$3,tblPlan[Final build week (Monday)],"&gt;="&amp;(AN$11+7*(IFERROR(INDEX(tblContracts[Kit-release lead (weeks before final build)],MATCH($C$3,tblContracts[Contract ID],0)),0))),tblPlan[Final build week (Monday)],"&lt;"&amp;(AN$11+7*(IFERROR(INDEX(tblContracts[Kit-release lead (weeks before final build)],MATCH($C$3,tblContracts[Contract ID],0)),0))+7)))</f>
        <v/>
      </c>
      <c r="AO13" s="62">
        <f>IF(SUMIFS(tblPlan[Repeaters planned],tblPlan[Contract],$C$3,tblPlan[Final build week (Monday)],"&gt;="&amp;(AO$11+7*(IFERROR(INDEX(tblContracts[Kit-release lead (weeks before final build)],MATCH($C$3,tblContracts[Contract ID],0)),0))),tblPlan[Final build week (Monday)],"&lt;"&amp;(AO$11+7*(IFERROR(INDEX(tblContracts[Kit-release lead (weeks before final build)],MATCH($C$3,tblContracts[Contract ID],0)),0))+7))=0,"",SUMIFS(tblPlan[Repeaters planned],tblPlan[Contract],$C$3,tblPlan[Final build week (Monday)],"&gt;="&amp;(AO$11+7*(IFERROR(INDEX(tblContracts[Kit-release lead (weeks before final build)],MATCH($C$3,tblContracts[Contract ID],0)),0))),tblPlan[Final build week (Monday)],"&lt;"&amp;(AO$11+7*(IFERROR(INDEX(tblContracts[Kit-release lead (weeks before final build)],MATCH($C$3,tblContracts[Contract ID],0)),0))+7)))</f>
        <v/>
      </c>
      <c r="AP13" s="62">
        <f>IF(SUMIFS(tblPlan[Repeaters planned],tblPlan[Contract],$C$3,tblPlan[Final build week (Monday)],"&gt;="&amp;(AP$11+7*(IFERROR(INDEX(tblContracts[Kit-release lead (weeks before final build)],MATCH($C$3,tblContracts[Contract ID],0)),0))),tblPlan[Final build week (Monday)],"&lt;"&amp;(AP$11+7*(IFERROR(INDEX(tblContracts[Kit-release lead (weeks before final build)],MATCH($C$3,tblContracts[Contract ID],0)),0))+7))=0,"",SUMIFS(tblPlan[Repeaters planned],tblPlan[Contract],$C$3,tblPlan[Final build week (Monday)],"&gt;="&amp;(AP$11+7*(IFERROR(INDEX(tblContracts[Kit-release lead (weeks before final build)],MATCH($C$3,tblContracts[Contract ID],0)),0))),tblPlan[Final build week (Monday)],"&lt;"&amp;(AP$11+7*(IFERROR(INDEX(tblContracts[Kit-release lead (weeks before final build)],MATCH($C$3,tblContracts[Contract ID],0)),0))+7)))</f>
        <v/>
      </c>
      <c r="AQ13" s="62">
        <f>IF(SUMIFS(tblPlan[Repeaters planned],tblPlan[Contract],$C$3,tblPlan[Final build week (Monday)],"&gt;="&amp;(AQ$11+7*(IFERROR(INDEX(tblContracts[Kit-release lead (weeks before final build)],MATCH($C$3,tblContracts[Contract ID],0)),0))),tblPlan[Final build week (Monday)],"&lt;"&amp;(AQ$11+7*(IFERROR(INDEX(tblContracts[Kit-release lead (weeks before final build)],MATCH($C$3,tblContracts[Contract ID],0)),0))+7))=0,"",SUMIFS(tblPlan[Repeaters planned],tblPlan[Contract],$C$3,tblPlan[Final build week (Monday)],"&gt;="&amp;(AQ$11+7*(IFERROR(INDEX(tblContracts[Kit-release lead (weeks before final build)],MATCH($C$3,tblContracts[Contract ID],0)),0))),tblPlan[Final build week (Monday)],"&lt;"&amp;(AQ$11+7*(IFERROR(INDEX(tblContracts[Kit-release lead (weeks before final build)],MATCH($C$3,tblContracts[Contract ID],0)),0))+7)))</f>
        <v/>
      </c>
      <c r="AR13" s="62">
        <f>IF(SUMIFS(tblPlan[Repeaters planned],tblPlan[Contract],$C$3,tblPlan[Final build week (Monday)],"&gt;="&amp;(AR$11+7*(IFERROR(INDEX(tblContracts[Kit-release lead (weeks before final build)],MATCH($C$3,tblContracts[Contract ID],0)),0))),tblPlan[Final build week (Monday)],"&lt;"&amp;(AR$11+7*(IFERROR(INDEX(tblContracts[Kit-release lead (weeks before final build)],MATCH($C$3,tblContracts[Contract ID],0)),0))+7))=0,"",SUMIFS(tblPlan[Repeaters planned],tblPlan[Contract],$C$3,tblPlan[Final build week (Monday)],"&gt;="&amp;(AR$11+7*(IFERROR(INDEX(tblContracts[Kit-release lead (weeks before final build)],MATCH($C$3,tblContracts[Contract ID],0)),0))),tblPlan[Final build week (Monday)],"&lt;"&amp;(AR$11+7*(IFERROR(INDEX(tblContracts[Kit-release lead (weeks before final build)],MATCH($C$3,tblContracts[Contract ID],0)),0))+7)))</f>
        <v/>
      </c>
      <c r="AS13" s="62">
        <f>IF(SUMIFS(tblPlan[Repeaters planned],tblPlan[Contract],$C$3,tblPlan[Final build week (Monday)],"&gt;="&amp;(AS$11+7*(IFERROR(INDEX(tblContracts[Kit-release lead (weeks before final build)],MATCH($C$3,tblContracts[Contract ID],0)),0))),tblPlan[Final build week (Monday)],"&lt;"&amp;(AS$11+7*(IFERROR(INDEX(tblContracts[Kit-release lead (weeks before final build)],MATCH($C$3,tblContracts[Contract ID],0)),0))+7))=0,"",SUMIFS(tblPlan[Repeaters planned],tblPlan[Contract],$C$3,tblPlan[Final build week (Monday)],"&gt;="&amp;(AS$11+7*(IFERROR(INDEX(tblContracts[Kit-release lead (weeks before final build)],MATCH($C$3,tblContracts[Contract ID],0)),0))),tblPlan[Final build week (Monday)],"&lt;"&amp;(AS$11+7*(IFERROR(INDEX(tblContracts[Kit-release lead (weeks before final build)],MATCH($C$3,tblContracts[Contract ID],0)),0))+7)))</f>
        <v/>
      </c>
      <c r="AT13" s="62">
        <f>IF(SUMIFS(tblPlan[Repeaters planned],tblPlan[Contract],$C$3,tblPlan[Final build week (Monday)],"&gt;="&amp;(AT$11+7*(IFERROR(INDEX(tblContracts[Kit-release lead (weeks before final build)],MATCH($C$3,tblContracts[Contract ID],0)),0))),tblPlan[Final build week (Monday)],"&lt;"&amp;(AT$11+7*(IFERROR(INDEX(tblContracts[Kit-release lead (weeks before final build)],MATCH($C$3,tblContracts[Contract ID],0)),0))+7))=0,"",SUMIFS(tblPlan[Repeaters planned],tblPlan[Contract],$C$3,tblPlan[Final build week (Monday)],"&gt;="&amp;(AT$11+7*(IFERROR(INDEX(tblContracts[Kit-release lead (weeks before final build)],MATCH($C$3,tblContracts[Contract ID],0)),0))),tblPlan[Final build week (Monday)],"&lt;"&amp;(AT$11+7*(IFERROR(INDEX(tblContracts[Kit-release lead (weeks before final build)],MATCH($C$3,tblContracts[Contract ID],0)),0))+7)))</f>
        <v/>
      </c>
      <c r="AU13" s="62">
        <f>IF(SUMIFS(tblPlan[Repeaters planned],tblPlan[Contract],$C$3,tblPlan[Final build week (Monday)],"&gt;="&amp;(AU$11+7*(IFERROR(INDEX(tblContracts[Kit-release lead (weeks before final build)],MATCH($C$3,tblContracts[Contract ID],0)),0))),tblPlan[Final build week (Monday)],"&lt;"&amp;(AU$11+7*(IFERROR(INDEX(tblContracts[Kit-release lead (weeks before final build)],MATCH($C$3,tblContracts[Contract ID],0)),0))+7))=0,"",SUMIFS(tblPlan[Repeaters planned],tblPlan[Contract],$C$3,tblPlan[Final build week (Monday)],"&gt;="&amp;(AU$11+7*(IFERROR(INDEX(tblContracts[Kit-release lead (weeks before final build)],MATCH($C$3,tblContracts[Contract ID],0)),0))),tblPlan[Final build week (Monday)],"&lt;"&amp;(AU$11+7*(IFERROR(INDEX(tblContracts[Kit-release lead (weeks before final build)],MATCH($C$3,tblContracts[Contract ID],0)),0))+7)))</f>
        <v/>
      </c>
      <c r="AV13" s="62">
        <f>IF(SUMIFS(tblPlan[Repeaters planned],tblPlan[Contract],$C$3,tblPlan[Final build week (Monday)],"&gt;="&amp;(AV$11+7*(IFERROR(INDEX(tblContracts[Kit-release lead (weeks before final build)],MATCH($C$3,tblContracts[Contract ID],0)),0))),tblPlan[Final build week (Monday)],"&lt;"&amp;(AV$11+7*(IFERROR(INDEX(tblContracts[Kit-release lead (weeks before final build)],MATCH($C$3,tblContracts[Contract ID],0)),0))+7))=0,"",SUMIFS(tblPlan[Repeaters planned],tblPlan[Contract],$C$3,tblPlan[Final build week (Monday)],"&gt;="&amp;(AV$11+7*(IFERROR(INDEX(tblContracts[Kit-release lead (weeks before final build)],MATCH($C$3,tblContracts[Contract ID],0)),0))),tblPlan[Final build week (Monday)],"&lt;"&amp;(AV$11+7*(IFERROR(INDEX(tblContracts[Kit-release lead (weeks before final build)],MATCH($C$3,tblContracts[Contract ID],0)),0))+7)))</f>
        <v/>
      </c>
      <c r="AW13" s="62">
        <f>IF(SUMIFS(tblPlan[Repeaters planned],tblPlan[Contract],$C$3,tblPlan[Final build week (Monday)],"&gt;="&amp;(AW$11+7*(IFERROR(INDEX(tblContracts[Kit-release lead (weeks before final build)],MATCH($C$3,tblContracts[Contract ID],0)),0))),tblPlan[Final build week (Monday)],"&lt;"&amp;(AW$11+7*(IFERROR(INDEX(tblContracts[Kit-release lead (weeks before final build)],MATCH($C$3,tblContracts[Contract ID],0)),0))+7))=0,"",SUMIFS(tblPlan[Repeaters planned],tblPlan[Contract],$C$3,tblPlan[Final build week (Monday)],"&gt;="&amp;(AW$11+7*(IFERROR(INDEX(tblContracts[Kit-release lead (weeks before final build)],MATCH($C$3,tblContracts[Contract ID],0)),0))),tblPlan[Final build week (Monday)],"&lt;"&amp;(AW$11+7*(IFERROR(INDEX(tblContracts[Kit-release lead (weeks before final build)],MATCH($C$3,tblContracts[Contract ID],0)),0))+7)))</f>
        <v/>
      </c>
      <c r="AX13" s="62">
        <f>IF(SUMIFS(tblPlan[Repeaters planned],tblPlan[Contract],$C$3,tblPlan[Final build week (Monday)],"&gt;="&amp;(AX$11+7*(IFERROR(INDEX(tblContracts[Kit-release lead (weeks before final build)],MATCH($C$3,tblContracts[Contract ID],0)),0))),tblPlan[Final build week (Monday)],"&lt;"&amp;(AX$11+7*(IFERROR(INDEX(tblContracts[Kit-release lead (weeks before final build)],MATCH($C$3,tblContracts[Contract ID],0)),0))+7))=0,"",SUMIFS(tblPlan[Repeaters planned],tblPlan[Contract],$C$3,tblPlan[Final build week (Monday)],"&gt;="&amp;(AX$11+7*(IFERROR(INDEX(tblContracts[Kit-release lead (weeks before final build)],MATCH($C$3,tblContracts[Contract ID],0)),0))),tblPlan[Final build week (Monday)],"&lt;"&amp;(AX$11+7*(IFERROR(INDEX(tblContracts[Kit-release lead (weeks before final build)],MATCH($C$3,tblContracts[Contract ID],0)),0))+7)))</f>
        <v/>
      </c>
      <c r="AY13" s="62">
        <f>IF(SUMIFS(tblPlan[Repeaters planned],tblPlan[Contract],$C$3,tblPlan[Final build week (Monday)],"&gt;="&amp;(AY$11+7*(IFERROR(INDEX(tblContracts[Kit-release lead (weeks before final build)],MATCH($C$3,tblContracts[Contract ID],0)),0))),tblPlan[Final build week (Monday)],"&lt;"&amp;(AY$11+7*(IFERROR(INDEX(tblContracts[Kit-release lead (weeks before final build)],MATCH($C$3,tblContracts[Contract ID],0)),0))+7))=0,"",SUMIFS(tblPlan[Repeaters planned],tblPlan[Contract],$C$3,tblPlan[Final build week (Monday)],"&gt;="&amp;(AY$11+7*(IFERROR(INDEX(tblContracts[Kit-release lead (weeks before final build)],MATCH($C$3,tblContracts[Contract ID],0)),0))),tblPlan[Final build week (Monday)],"&lt;"&amp;(AY$11+7*(IFERROR(INDEX(tblContracts[Kit-release lead (weeks before final build)],MATCH($C$3,tblContracts[Contract ID],0)),0))+7)))</f>
        <v/>
      </c>
      <c r="AZ13" s="62">
        <f>IF(SUMIFS(tblPlan[Repeaters planned],tblPlan[Contract],$C$3,tblPlan[Final build week (Monday)],"&gt;="&amp;(AZ$11+7*(IFERROR(INDEX(tblContracts[Kit-release lead (weeks before final build)],MATCH($C$3,tblContracts[Contract ID],0)),0))),tblPlan[Final build week (Monday)],"&lt;"&amp;(AZ$11+7*(IFERROR(INDEX(tblContracts[Kit-release lead (weeks before final build)],MATCH($C$3,tblContracts[Contract ID],0)),0))+7))=0,"",SUMIFS(tblPlan[Repeaters planned],tblPlan[Contract],$C$3,tblPlan[Final build week (Monday)],"&gt;="&amp;(AZ$11+7*(IFERROR(INDEX(tblContracts[Kit-release lead (weeks before final build)],MATCH($C$3,tblContracts[Contract ID],0)),0))),tblPlan[Final build week (Monday)],"&lt;"&amp;(AZ$11+7*(IFERROR(INDEX(tblContracts[Kit-release lead (weeks before final build)],MATCH($C$3,tblContracts[Contract ID],0)),0))+7)))</f>
        <v/>
      </c>
      <c r="BA13" s="62">
        <f>IF(SUMIFS(tblPlan[Repeaters planned],tblPlan[Contract],$C$3,tblPlan[Final build week (Monday)],"&gt;="&amp;(BA$11+7*(IFERROR(INDEX(tblContracts[Kit-release lead (weeks before final build)],MATCH($C$3,tblContracts[Contract ID],0)),0))),tblPlan[Final build week (Monday)],"&lt;"&amp;(BA$11+7*(IFERROR(INDEX(tblContracts[Kit-release lead (weeks before final build)],MATCH($C$3,tblContracts[Contract ID],0)),0))+7))=0,"",SUMIFS(tblPlan[Repeaters planned],tblPlan[Contract],$C$3,tblPlan[Final build week (Monday)],"&gt;="&amp;(BA$11+7*(IFERROR(INDEX(tblContracts[Kit-release lead (weeks before final build)],MATCH($C$3,tblContracts[Contract ID],0)),0))),tblPlan[Final build week (Monday)],"&lt;"&amp;(BA$11+7*(IFERROR(INDEX(tblContracts[Kit-release lead (weeks before final build)],MATCH($C$3,tblContracts[Contract ID],0)),0))+7)))</f>
        <v/>
      </c>
      <c r="BB13" s="62">
        <f>IF(SUMIFS(tblPlan[Repeaters planned],tblPlan[Contract],$C$3,tblPlan[Final build week (Monday)],"&gt;="&amp;(BB$11+7*(IFERROR(INDEX(tblContracts[Kit-release lead (weeks before final build)],MATCH($C$3,tblContracts[Contract ID],0)),0))),tblPlan[Final build week (Monday)],"&lt;"&amp;(BB$11+7*(IFERROR(INDEX(tblContracts[Kit-release lead (weeks before final build)],MATCH($C$3,tblContracts[Contract ID],0)),0))+7))=0,"",SUMIFS(tblPlan[Repeaters planned],tblPlan[Contract],$C$3,tblPlan[Final build week (Monday)],"&gt;="&amp;(BB$11+7*(IFERROR(INDEX(tblContracts[Kit-release lead (weeks before final build)],MATCH($C$3,tblContracts[Contract ID],0)),0))),tblPlan[Final build week (Monday)],"&lt;"&amp;(BB$11+7*(IFERROR(INDEX(tblContracts[Kit-release lead (weeks before final build)],MATCH($C$3,tblContracts[Contract ID],0)),0))+7)))</f>
        <v/>
      </c>
      <c r="BC13" s="62">
        <f>IF(SUMIFS(tblPlan[Repeaters planned],tblPlan[Contract],$C$3,tblPlan[Final build week (Monday)],"&gt;="&amp;(BC$11+7*(IFERROR(INDEX(tblContracts[Kit-release lead (weeks before final build)],MATCH($C$3,tblContracts[Contract ID],0)),0))),tblPlan[Final build week (Monday)],"&lt;"&amp;(BC$11+7*(IFERROR(INDEX(tblContracts[Kit-release lead (weeks before final build)],MATCH($C$3,tblContracts[Contract ID],0)),0))+7))=0,"",SUMIFS(tblPlan[Repeaters planned],tblPlan[Contract],$C$3,tblPlan[Final build week (Monday)],"&gt;="&amp;(BC$11+7*(IFERROR(INDEX(tblContracts[Kit-release lead (weeks before final build)],MATCH($C$3,tblContracts[Contract ID],0)),0))),tblPlan[Final build week (Monday)],"&lt;"&amp;(BC$11+7*(IFERROR(INDEX(tblContracts[Kit-release lead (weeks before final build)],MATCH($C$3,tblContracts[Contract ID],0)),0))+7)))</f>
        <v/>
      </c>
      <c r="BD13" s="62">
        <f>IF(SUMIFS(tblPlan[Repeaters planned],tblPlan[Contract],$C$3,tblPlan[Final build week (Monday)],"&gt;="&amp;(BD$11+7*(IFERROR(INDEX(tblContracts[Kit-release lead (weeks before final build)],MATCH($C$3,tblContracts[Contract ID],0)),0))),tblPlan[Final build week (Monday)],"&lt;"&amp;(BD$11+7*(IFERROR(INDEX(tblContracts[Kit-release lead (weeks before final build)],MATCH($C$3,tblContracts[Contract ID],0)),0))+7))=0,"",SUMIFS(tblPlan[Repeaters planned],tblPlan[Contract],$C$3,tblPlan[Final build week (Monday)],"&gt;="&amp;(BD$11+7*(IFERROR(INDEX(tblContracts[Kit-release lead (weeks before final build)],MATCH($C$3,tblContracts[Contract ID],0)),0))),tblPlan[Final build week (Monday)],"&lt;"&amp;(BD$11+7*(IFERROR(INDEX(tblContracts[Kit-release lead (weeks before final build)],MATCH($C$3,tblContracts[Contract ID],0)),0))+7)))</f>
        <v/>
      </c>
    </row>
    <row r="14" ht="20" customHeight="1">
      <c r="B14" s="30" t="inlineStr">
        <is>
          <t>AMPS build</t>
        </is>
      </c>
      <c r="C14" s="8" t="inlineStr">
        <is>
          <t>W − AMPS lead</t>
        </is>
      </c>
      <c r="D14" s="62">
        <f>SUMIFS(tblPlan[Repeaters planned],tblPlan[Contract],$C$3,tblPlan[Final build week (Monday)],"&gt;="&amp;($D$5+7*(IFERROR(INDEX(tblContracts[AMPS-build lead (weeks before final build)],MATCH($C$3,tblContracts[Contract ID],0)),0))),tblPlan[Final build week (Monday)],"&lt;"&amp;($D$5+7*(IFERROR(INDEX(tblContracts[AMPS-build lead (weeks before final build)],MATCH($C$3,tblContracts[Contract ID],0)),0)+52)))</f>
        <v/>
      </c>
      <c r="E14" s="62">
        <f>IF(SUMIFS(tblPlan[Repeaters planned],tblPlan[Contract],$C$3,tblPlan[Final build week (Monday)],"&gt;="&amp;(E$11+7*(IFERROR(INDEX(tblContracts[AMPS-build lead (weeks before final build)],MATCH($C$3,tblContracts[Contract ID],0)),0))),tblPlan[Final build week (Monday)],"&lt;"&amp;(E$11+7*(IFERROR(INDEX(tblContracts[AMPS-build lead (weeks before final build)],MATCH($C$3,tblContracts[Contract ID],0)),0))+7))=0,"",SUMIFS(tblPlan[Repeaters planned],tblPlan[Contract],$C$3,tblPlan[Final build week (Monday)],"&gt;="&amp;(E$11+7*(IFERROR(INDEX(tblContracts[AMPS-build lead (weeks before final build)],MATCH($C$3,tblContracts[Contract ID],0)),0))),tblPlan[Final build week (Monday)],"&lt;"&amp;(E$11+7*(IFERROR(INDEX(tblContracts[AMPS-build lead (weeks before final build)],MATCH($C$3,tblContracts[Contract ID],0)),0))+7)))</f>
        <v/>
      </c>
      <c r="F14" s="62">
        <f>IF(SUMIFS(tblPlan[Repeaters planned],tblPlan[Contract],$C$3,tblPlan[Final build week (Monday)],"&gt;="&amp;(F$11+7*(IFERROR(INDEX(tblContracts[AMPS-build lead (weeks before final build)],MATCH($C$3,tblContracts[Contract ID],0)),0))),tblPlan[Final build week (Monday)],"&lt;"&amp;(F$11+7*(IFERROR(INDEX(tblContracts[AMPS-build lead (weeks before final build)],MATCH($C$3,tblContracts[Contract ID],0)),0))+7))=0,"",SUMIFS(tblPlan[Repeaters planned],tblPlan[Contract],$C$3,tblPlan[Final build week (Monday)],"&gt;="&amp;(F$11+7*(IFERROR(INDEX(tblContracts[AMPS-build lead (weeks before final build)],MATCH($C$3,tblContracts[Contract ID],0)),0))),tblPlan[Final build week (Monday)],"&lt;"&amp;(F$11+7*(IFERROR(INDEX(tblContracts[AMPS-build lead (weeks before final build)],MATCH($C$3,tblContracts[Contract ID],0)),0))+7)))</f>
        <v/>
      </c>
      <c r="G14" s="62">
        <f>IF(SUMIFS(tblPlan[Repeaters planned],tblPlan[Contract],$C$3,tblPlan[Final build week (Monday)],"&gt;="&amp;(G$11+7*(IFERROR(INDEX(tblContracts[AMPS-build lead (weeks before final build)],MATCH($C$3,tblContracts[Contract ID],0)),0))),tblPlan[Final build week (Monday)],"&lt;"&amp;(G$11+7*(IFERROR(INDEX(tblContracts[AMPS-build lead (weeks before final build)],MATCH($C$3,tblContracts[Contract ID],0)),0))+7))=0,"",SUMIFS(tblPlan[Repeaters planned],tblPlan[Contract],$C$3,tblPlan[Final build week (Monday)],"&gt;="&amp;(G$11+7*(IFERROR(INDEX(tblContracts[AMPS-build lead (weeks before final build)],MATCH($C$3,tblContracts[Contract ID],0)),0))),tblPlan[Final build week (Monday)],"&lt;"&amp;(G$11+7*(IFERROR(INDEX(tblContracts[AMPS-build lead (weeks before final build)],MATCH($C$3,tblContracts[Contract ID],0)),0))+7)))</f>
        <v/>
      </c>
      <c r="H14" s="62">
        <f>IF(SUMIFS(tblPlan[Repeaters planned],tblPlan[Contract],$C$3,tblPlan[Final build week (Monday)],"&gt;="&amp;(H$11+7*(IFERROR(INDEX(tblContracts[AMPS-build lead (weeks before final build)],MATCH($C$3,tblContracts[Contract ID],0)),0))),tblPlan[Final build week (Monday)],"&lt;"&amp;(H$11+7*(IFERROR(INDEX(tblContracts[AMPS-build lead (weeks before final build)],MATCH($C$3,tblContracts[Contract ID],0)),0))+7))=0,"",SUMIFS(tblPlan[Repeaters planned],tblPlan[Contract],$C$3,tblPlan[Final build week (Monday)],"&gt;="&amp;(H$11+7*(IFERROR(INDEX(tblContracts[AMPS-build lead (weeks before final build)],MATCH($C$3,tblContracts[Contract ID],0)),0))),tblPlan[Final build week (Monday)],"&lt;"&amp;(H$11+7*(IFERROR(INDEX(tblContracts[AMPS-build lead (weeks before final build)],MATCH($C$3,tblContracts[Contract ID],0)),0))+7)))</f>
        <v/>
      </c>
      <c r="I14" s="62">
        <f>IF(SUMIFS(tblPlan[Repeaters planned],tblPlan[Contract],$C$3,tblPlan[Final build week (Monday)],"&gt;="&amp;(I$11+7*(IFERROR(INDEX(tblContracts[AMPS-build lead (weeks before final build)],MATCH($C$3,tblContracts[Contract ID],0)),0))),tblPlan[Final build week (Monday)],"&lt;"&amp;(I$11+7*(IFERROR(INDEX(tblContracts[AMPS-build lead (weeks before final build)],MATCH($C$3,tblContracts[Contract ID],0)),0))+7))=0,"",SUMIFS(tblPlan[Repeaters planned],tblPlan[Contract],$C$3,tblPlan[Final build week (Monday)],"&gt;="&amp;(I$11+7*(IFERROR(INDEX(tblContracts[AMPS-build lead (weeks before final build)],MATCH($C$3,tblContracts[Contract ID],0)),0))),tblPlan[Final build week (Monday)],"&lt;"&amp;(I$11+7*(IFERROR(INDEX(tblContracts[AMPS-build lead (weeks before final build)],MATCH($C$3,tblContracts[Contract ID],0)),0))+7)))</f>
        <v/>
      </c>
      <c r="J14" s="62">
        <f>IF(SUMIFS(tblPlan[Repeaters planned],tblPlan[Contract],$C$3,tblPlan[Final build week (Monday)],"&gt;="&amp;(J$11+7*(IFERROR(INDEX(tblContracts[AMPS-build lead (weeks before final build)],MATCH($C$3,tblContracts[Contract ID],0)),0))),tblPlan[Final build week (Monday)],"&lt;"&amp;(J$11+7*(IFERROR(INDEX(tblContracts[AMPS-build lead (weeks before final build)],MATCH($C$3,tblContracts[Contract ID],0)),0))+7))=0,"",SUMIFS(tblPlan[Repeaters planned],tblPlan[Contract],$C$3,tblPlan[Final build week (Monday)],"&gt;="&amp;(J$11+7*(IFERROR(INDEX(tblContracts[AMPS-build lead (weeks before final build)],MATCH($C$3,tblContracts[Contract ID],0)),0))),tblPlan[Final build week (Monday)],"&lt;"&amp;(J$11+7*(IFERROR(INDEX(tblContracts[AMPS-build lead (weeks before final build)],MATCH($C$3,tblContracts[Contract ID],0)),0))+7)))</f>
        <v/>
      </c>
      <c r="K14" s="62">
        <f>IF(SUMIFS(tblPlan[Repeaters planned],tblPlan[Contract],$C$3,tblPlan[Final build week (Monday)],"&gt;="&amp;(K$11+7*(IFERROR(INDEX(tblContracts[AMPS-build lead (weeks before final build)],MATCH($C$3,tblContracts[Contract ID],0)),0))),tblPlan[Final build week (Monday)],"&lt;"&amp;(K$11+7*(IFERROR(INDEX(tblContracts[AMPS-build lead (weeks before final build)],MATCH($C$3,tblContracts[Contract ID],0)),0))+7))=0,"",SUMIFS(tblPlan[Repeaters planned],tblPlan[Contract],$C$3,tblPlan[Final build week (Monday)],"&gt;="&amp;(K$11+7*(IFERROR(INDEX(tblContracts[AMPS-build lead (weeks before final build)],MATCH($C$3,tblContracts[Contract ID],0)),0))),tblPlan[Final build week (Monday)],"&lt;"&amp;(K$11+7*(IFERROR(INDEX(tblContracts[AMPS-build lead (weeks before final build)],MATCH($C$3,tblContracts[Contract ID],0)),0))+7)))</f>
        <v/>
      </c>
      <c r="L14" s="62">
        <f>IF(SUMIFS(tblPlan[Repeaters planned],tblPlan[Contract],$C$3,tblPlan[Final build week (Monday)],"&gt;="&amp;(L$11+7*(IFERROR(INDEX(tblContracts[AMPS-build lead (weeks before final build)],MATCH($C$3,tblContracts[Contract ID],0)),0))),tblPlan[Final build week (Monday)],"&lt;"&amp;(L$11+7*(IFERROR(INDEX(tblContracts[AMPS-build lead (weeks before final build)],MATCH($C$3,tblContracts[Contract ID],0)),0))+7))=0,"",SUMIFS(tblPlan[Repeaters planned],tblPlan[Contract],$C$3,tblPlan[Final build week (Monday)],"&gt;="&amp;(L$11+7*(IFERROR(INDEX(tblContracts[AMPS-build lead (weeks before final build)],MATCH($C$3,tblContracts[Contract ID],0)),0))),tblPlan[Final build week (Monday)],"&lt;"&amp;(L$11+7*(IFERROR(INDEX(tblContracts[AMPS-build lead (weeks before final build)],MATCH($C$3,tblContracts[Contract ID],0)),0))+7)))</f>
        <v/>
      </c>
      <c r="M14" s="62">
        <f>IF(SUMIFS(tblPlan[Repeaters planned],tblPlan[Contract],$C$3,tblPlan[Final build week (Monday)],"&gt;="&amp;(M$11+7*(IFERROR(INDEX(tblContracts[AMPS-build lead (weeks before final build)],MATCH($C$3,tblContracts[Contract ID],0)),0))),tblPlan[Final build week (Monday)],"&lt;"&amp;(M$11+7*(IFERROR(INDEX(tblContracts[AMPS-build lead (weeks before final build)],MATCH($C$3,tblContracts[Contract ID],0)),0))+7))=0,"",SUMIFS(tblPlan[Repeaters planned],tblPlan[Contract],$C$3,tblPlan[Final build week (Monday)],"&gt;="&amp;(M$11+7*(IFERROR(INDEX(tblContracts[AMPS-build lead (weeks before final build)],MATCH($C$3,tblContracts[Contract ID],0)),0))),tblPlan[Final build week (Monday)],"&lt;"&amp;(M$11+7*(IFERROR(INDEX(tblContracts[AMPS-build lead (weeks before final build)],MATCH($C$3,tblContracts[Contract ID],0)),0))+7)))</f>
        <v/>
      </c>
      <c r="N14" s="62">
        <f>IF(SUMIFS(tblPlan[Repeaters planned],tblPlan[Contract],$C$3,tblPlan[Final build week (Monday)],"&gt;="&amp;(N$11+7*(IFERROR(INDEX(tblContracts[AMPS-build lead (weeks before final build)],MATCH($C$3,tblContracts[Contract ID],0)),0))),tblPlan[Final build week (Monday)],"&lt;"&amp;(N$11+7*(IFERROR(INDEX(tblContracts[AMPS-build lead (weeks before final build)],MATCH($C$3,tblContracts[Contract ID],0)),0))+7))=0,"",SUMIFS(tblPlan[Repeaters planned],tblPlan[Contract],$C$3,tblPlan[Final build week (Monday)],"&gt;="&amp;(N$11+7*(IFERROR(INDEX(tblContracts[AMPS-build lead (weeks before final build)],MATCH($C$3,tblContracts[Contract ID],0)),0))),tblPlan[Final build week (Monday)],"&lt;"&amp;(N$11+7*(IFERROR(INDEX(tblContracts[AMPS-build lead (weeks before final build)],MATCH($C$3,tblContracts[Contract ID],0)),0))+7)))</f>
        <v/>
      </c>
      <c r="O14" s="62">
        <f>IF(SUMIFS(tblPlan[Repeaters planned],tblPlan[Contract],$C$3,tblPlan[Final build week (Monday)],"&gt;="&amp;(O$11+7*(IFERROR(INDEX(tblContracts[AMPS-build lead (weeks before final build)],MATCH($C$3,tblContracts[Contract ID],0)),0))),tblPlan[Final build week (Monday)],"&lt;"&amp;(O$11+7*(IFERROR(INDEX(tblContracts[AMPS-build lead (weeks before final build)],MATCH($C$3,tblContracts[Contract ID],0)),0))+7))=0,"",SUMIFS(tblPlan[Repeaters planned],tblPlan[Contract],$C$3,tblPlan[Final build week (Monday)],"&gt;="&amp;(O$11+7*(IFERROR(INDEX(tblContracts[AMPS-build lead (weeks before final build)],MATCH($C$3,tblContracts[Contract ID],0)),0))),tblPlan[Final build week (Monday)],"&lt;"&amp;(O$11+7*(IFERROR(INDEX(tblContracts[AMPS-build lead (weeks before final build)],MATCH($C$3,tblContracts[Contract ID],0)),0))+7)))</f>
        <v/>
      </c>
      <c r="P14" s="62">
        <f>IF(SUMIFS(tblPlan[Repeaters planned],tblPlan[Contract],$C$3,tblPlan[Final build week (Monday)],"&gt;="&amp;(P$11+7*(IFERROR(INDEX(tblContracts[AMPS-build lead (weeks before final build)],MATCH($C$3,tblContracts[Contract ID],0)),0))),tblPlan[Final build week (Monday)],"&lt;"&amp;(P$11+7*(IFERROR(INDEX(tblContracts[AMPS-build lead (weeks before final build)],MATCH($C$3,tblContracts[Contract ID],0)),0))+7))=0,"",SUMIFS(tblPlan[Repeaters planned],tblPlan[Contract],$C$3,tblPlan[Final build week (Monday)],"&gt;="&amp;(P$11+7*(IFERROR(INDEX(tblContracts[AMPS-build lead (weeks before final build)],MATCH($C$3,tblContracts[Contract ID],0)),0))),tblPlan[Final build week (Monday)],"&lt;"&amp;(P$11+7*(IFERROR(INDEX(tblContracts[AMPS-build lead (weeks before final build)],MATCH($C$3,tblContracts[Contract ID],0)),0))+7)))</f>
        <v/>
      </c>
      <c r="Q14" s="62">
        <f>IF(SUMIFS(tblPlan[Repeaters planned],tblPlan[Contract],$C$3,tblPlan[Final build week (Monday)],"&gt;="&amp;(Q$11+7*(IFERROR(INDEX(tblContracts[AMPS-build lead (weeks before final build)],MATCH($C$3,tblContracts[Contract ID],0)),0))),tblPlan[Final build week (Monday)],"&lt;"&amp;(Q$11+7*(IFERROR(INDEX(tblContracts[AMPS-build lead (weeks before final build)],MATCH($C$3,tblContracts[Contract ID],0)),0))+7))=0,"",SUMIFS(tblPlan[Repeaters planned],tblPlan[Contract],$C$3,tblPlan[Final build week (Monday)],"&gt;="&amp;(Q$11+7*(IFERROR(INDEX(tblContracts[AMPS-build lead (weeks before final build)],MATCH($C$3,tblContracts[Contract ID],0)),0))),tblPlan[Final build week (Monday)],"&lt;"&amp;(Q$11+7*(IFERROR(INDEX(tblContracts[AMPS-build lead (weeks before final build)],MATCH($C$3,tblContracts[Contract ID],0)),0))+7)))</f>
        <v/>
      </c>
      <c r="R14" s="62">
        <f>IF(SUMIFS(tblPlan[Repeaters planned],tblPlan[Contract],$C$3,tblPlan[Final build week (Monday)],"&gt;="&amp;(R$11+7*(IFERROR(INDEX(tblContracts[AMPS-build lead (weeks before final build)],MATCH($C$3,tblContracts[Contract ID],0)),0))),tblPlan[Final build week (Monday)],"&lt;"&amp;(R$11+7*(IFERROR(INDEX(tblContracts[AMPS-build lead (weeks before final build)],MATCH($C$3,tblContracts[Contract ID],0)),0))+7))=0,"",SUMIFS(tblPlan[Repeaters planned],tblPlan[Contract],$C$3,tblPlan[Final build week (Monday)],"&gt;="&amp;(R$11+7*(IFERROR(INDEX(tblContracts[AMPS-build lead (weeks before final build)],MATCH($C$3,tblContracts[Contract ID],0)),0))),tblPlan[Final build week (Monday)],"&lt;"&amp;(R$11+7*(IFERROR(INDEX(tblContracts[AMPS-build lead (weeks before final build)],MATCH($C$3,tblContracts[Contract ID],0)),0))+7)))</f>
        <v/>
      </c>
      <c r="S14" s="62">
        <f>IF(SUMIFS(tblPlan[Repeaters planned],tblPlan[Contract],$C$3,tblPlan[Final build week (Monday)],"&gt;="&amp;(S$11+7*(IFERROR(INDEX(tblContracts[AMPS-build lead (weeks before final build)],MATCH($C$3,tblContracts[Contract ID],0)),0))),tblPlan[Final build week (Monday)],"&lt;"&amp;(S$11+7*(IFERROR(INDEX(tblContracts[AMPS-build lead (weeks before final build)],MATCH($C$3,tblContracts[Contract ID],0)),0))+7))=0,"",SUMIFS(tblPlan[Repeaters planned],tblPlan[Contract],$C$3,tblPlan[Final build week (Monday)],"&gt;="&amp;(S$11+7*(IFERROR(INDEX(tblContracts[AMPS-build lead (weeks before final build)],MATCH($C$3,tblContracts[Contract ID],0)),0))),tblPlan[Final build week (Monday)],"&lt;"&amp;(S$11+7*(IFERROR(INDEX(tblContracts[AMPS-build lead (weeks before final build)],MATCH($C$3,tblContracts[Contract ID],0)),0))+7)))</f>
        <v/>
      </c>
      <c r="T14" s="62">
        <f>IF(SUMIFS(tblPlan[Repeaters planned],tblPlan[Contract],$C$3,tblPlan[Final build week (Monday)],"&gt;="&amp;(T$11+7*(IFERROR(INDEX(tblContracts[AMPS-build lead (weeks before final build)],MATCH($C$3,tblContracts[Contract ID],0)),0))),tblPlan[Final build week (Monday)],"&lt;"&amp;(T$11+7*(IFERROR(INDEX(tblContracts[AMPS-build lead (weeks before final build)],MATCH($C$3,tblContracts[Contract ID],0)),0))+7))=0,"",SUMIFS(tblPlan[Repeaters planned],tblPlan[Contract],$C$3,tblPlan[Final build week (Monday)],"&gt;="&amp;(T$11+7*(IFERROR(INDEX(tblContracts[AMPS-build lead (weeks before final build)],MATCH($C$3,tblContracts[Contract ID],0)),0))),tblPlan[Final build week (Monday)],"&lt;"&amp;(T$11+7*(IFERROR(INDEX(tblContracts[AMPS-build lead (weeks before final build)],MATCH($C$3,tblContracts[Contract ID],0)),0))+7)))</f>
        <v/>
      </c>
      <c r="U14" s="62">
        <f>IF(SUMIFS(tblPlan[Repeaters planned],tblPlan[Contract],$C$3,tblPlan[Final build week (Monday)],"&gt;="&amp;(U$11+7*(IFERROR(INDEX(tblContracts[AMPS-build lead (weeks before final build)],MATCH($C$3,tblContracts[Contract ID],0)),0))),tblPlan[Final build week (Monday)],"&lt;"&amp;(U$11+7*(IFERROR(INDEX(tblContracts[AMPS-build lead (weeks before final build)],MATCH($C$3,tblContracts[Contract ID],0)),0))+7))=0,"",SUMIFS(tblPlan[Repeaters planned],tblPlan[Contract],$C$3,tblPlan[Final build week (Monday)],"&gt;="&amp;(U$11+7*(IFERROR(INDEX(tblContracts[AMPS-build lead (weeks before final build)],MATCH($C$3,tblContracts[Contract ID],0)),0))),tblPlan[Final build week (Monday)],"&lt;"&amp;(U$11+7*(IFERROR(INDEX(tblContracts[AMPS-build lead (weeks before final build)],MATCH($C$3,tblContracts[Contract ID],0)),0))+7)))</f>
        <v/>
      </c>
      <c r="V14" s="62">
        <f>IF(SUMIFS(tblPlan[Repeaters planned],tblPlan[Contract],$C$3,tblPlan[Final build week (Monday)],"&gt;="&amp;(V$11+7*(IFERROR(INDEX(tblContracts[AMPS-build lead (weeks before final build)],MATCH($C$3,tblContracts[Contract ID],0)),0))),tblPlan[Final build week (Monday)],"&lt;"&amp;(V$11+7*(IFERROR(INDEX(tblContracts[AMPS-build lead (weeks before final build)],MATCH($C$3,tblContracts[Contract ID],0)),0))+7))=0,"",SUMIFS(tblPlan[Repeaters planned],tblPlan[Contract],$C$3,tblPlan[Final build week (Monday)],"&gt;="&amp;(V$11+7*(IFERROR(INDEX(tblContracts[AMPS-build lead (weeks before final build)],MATCH($C$3,tblContracts[Contract ID],0)),0))),tblPlan[Final build week (Monday)],"&lt;"&amp;(V$11+7*(IFERROR(INDEX(tblContracts[AMPS-build lead (weeks before final build)],MATCH($C$3,tblContracts[Contract ID],0)),0))+7)))</f>
        <v/>
      </c>
      <c r="W14" s="62">
        <f>IF(SUMIFS(tblPlan[Repeaters planned],tblPlan[Contract],$C$3,tblPlan[Final build week (Monday)],"&gt;="&amp;(W$11+7*(IFERROR(INDEX(tblContracts[AMPS-build lead (weeks before final build)],MATCH($C$3,tblContracts[Contract ID],0)),0))),tblPlan[Final build week (Monday)],"&lt;"&amp;(W$11+7*(IFERROR(INDEX(tblContracts[AMPS-build lead (weeks before final build)],MATCH($C$3,tblContracts[Contract ID],0)),0))+7))=0,"",SUMIFS(tblPlan[Repeaters planned],tblPlan[Contract],$C$3,tblPlan[Final build week (Monday)],"&gt;="&amp;(W$11+7*(IFERROR(INDEX(tblContracts[AMPS-build lead (weeks before final build)],MATCH($C$3,tblContracts[Contract ID],0)),0))),tblPlan[Final build week (Monday)],"&lt;"&amp;(W$11+7*(IFERROR(INDEX(tblContracts[AMPS-build lead (weeks before final build)],MATCH($C$3,tblContracts[Contract ID],0)),0))+7)))</f>
        <v/>
      </c>
      <c r="X14" s="62">
        <f>IF(SUMIFS(tblPlan[Repeaters planned],tblPlan[Contract],$C$3,tblPlan[Final build week (Monday)],"&gt;="&amp;(X$11+7*(IFERROR(INDEX(tblContracts[AMPS-build lead (weeks before final build)],MATCH($C$3,tblContracts[Contract ID],0)),0))),tblPlan[Final build week (Monday)],"&lt;"&amp;(X$11+7*(IFERROR(INDEX(tblContracts[AMPS-build lead (weeks before final build)],MATCH($C$3,tblContracts[Contract ID],0)),0))+7))=0,"",SUMIFS(tblPlan[Repeaters planned],tblPlan[Contract],$C$3,tblPlan[Final build week (Monday)],"&gt;="&amp;(X$11+7*(IFERROR(INDEX(tblContracts[AMPS-build lead (weeks before final build)],MATCH($C$3,tblContracts[Contract ID],0)),0))),tblPlan[Final build week (Monday)],"&lt;"&amp;(X$11+7*(IFERROR(INDEX(tblContracts[AMPS-build lead (weeks before final build)],MATCH($C$3,tblContracts[Contract ID],0)),0))+7)))</f>
        <v/>
      </c>
      <c r="Y14" s="62">
        <f>IF(SUMIFS(tblPlan[Repeaters planned],tblPlan[Contract],$C$3,tblPlan[Final build week (Monday)],"&gt;="&amp;(Y$11+7*(IFERROR(INDEX(tblContracts[AMPS-build lead (weeks before final build)],MATCH($C$3,tblContracts[Contract ID],0)),0))),tblPlan[Final build week (Monday)],"&lt;"&amp;(Y$11+7*(IFERROR(INDEX(tblContracts[AMPS-build lead (weeks before final build)],MATCH($C$3,tblContracts[Contract ID],0)),0))+7))=0,"",SUMIFS(tblPlan[Repeaters planned],tblPlan[Contract],$C$3,tblPlan[Final build week (Monday)],"&gt;="&amp;(Y$11+7*(IFERROR(INDEX(tblContracts[AMPS-build lead (weeks before final build)],MATCH($C$3,tblContracts[Contract ID],0)),0))),tblPlan[Final build week (Monday)],"&lt;"&amp;(Y$11+7*(IFERROR(INDEX(tblContracts[AMPS-build lead (weeks before final build)],MATCH($C$3,tblContracts[Contract ID],0)),0))+7)))</f>
        <v/>
      </c>
      <c r="Z14" s="62">
        <f>IF(SUMIFS(tblPlan[Repeaters planned],tblPlan[Contract],$C$3,tblPlan[Final build week (Monday)],"&gt;="&amp;(Z$11+7*(IFERROR(INDEX(tblContracts[AMPS-build lead (weeks before final build)],MATCH($C$3,tblContracts[Contract ID],0)),0))),tblPlan[Final build week (Monday)],"&lt;"&amp;(Z$11+7*(IFERROR(INDEX(tblContracts[AMPS-build lead (weeks before final build)],MATCH($C$3,tblContracts[Contract ID],0)),0))+7))=0,"",SUMIFS(tblPlan[Repeaters planned],tblPlan[Contract],$C$3,tblPlan[Final build week (Monday)],"&gt;="&amp;(Z$11+7*(IFERROR(INDEX(tblContracts[AMPS-build lead (weeks before final build)],MATCH($C$3,tblContracts[Contract ID],0)),0))),tblPlan[Final build week (Monday)],"&lt;"&amp;(Z$11+7*(IFERROR(INDEX(tblContracts[AMPS-build lead (weeks before final build)],MATCH($C$3,tblContracts[Contract ID],0)),0))+7)))</f>
        <v/>
      </c>
      <c r="AA14" s="62">
        <f>IF(SUMIFS(tblPlan[Repeaters planned],tblPlan[Contract],$C$3,tblPlan[Final build week (Monday)],"&gt;="&amp;(AA$11+7*(IFERROR(INDEX(tblContracts[AMPS-build lead (weeks before final build)],MATCH($C$3,tblContracts[Contract ID],0)),0))),tblPlan[Final build week (Monday)],"&lt;"&amp;(AA$11+7*(IFERROR(INDEX(tblContracts[AMPS-build lead (weeks before final build)],MATCH($C$3,tblContracts[Contract ID],0)),0))+7))=0,"",SUMIFS(tblPlan[Repeaters planned],tblPlan[Contract],$C$3,tblPlan[Final build week (Monday)],"&gt;="&amp;(AA$11+7*(IFERROR(INDEX(tblContracts[AMPS-build lead (weeks before final build)],MATCH($C$3,tblContracts[Contract ID],0)),0))),tblPlan[Final build week (Monday)],"&lt;"&amp;(AA$11+7*(IFERROR(INDEX(tblContracts[AMPS-build lead (weeks before final build)],MATCH($C$3,tblContracts[Contract ID],0)),0))+7)))</f>
        <v/>
      </c>
      <c r="AB14" s="62">
        <f>IF(SUMIFS(tblPlan[Repeaters planned],tblPlan[Contract],$C$3,tblPlan[Final build week (Monday)],"&gt;="&amp;(AB$11+7*(IFERROR(INDEX(tblContracts[AMPS-build lead (weeks before final build)],MATCH($C$3,tblContracts[Contract ID],0)),0))),tblPlan[Final build week (Monday)],"&lt;"&amp;(AB$11+7*(IFERROR(INDEX(tblContracts[AMPS-build lead (weeks before final build)],MATCH($C$3,tblContracts[Contract ID],0)),0))+7))=0,"",SUMIFS(tblPlan[Repeaters planned],tblPlan[Contract],$C$3,tblPlan[Final build week (Monday)],"&gt;="&amp;(AB$11+7*(IFERROR(INDEX(tblContracts[AMPS-build lead (weeks before final build)],MATCH($C$3,tblContracts[Contract ID],0)),0))),tblPlan[Final build week (Monday)],"&lt;"&amp;(AB$11+7*(IFERROR(INDEX(tblContracts[AMPS-build lead (weeks before final build)],MATCH($C$3,tblContracts[Contract ID],0)),0))+7)))</f>
        <v/>
      </c>
      <c r="AC14" s="62">
        <f>IF(SUMIFS(tblPlan[Repeaters planned],tblPlan[Contract],$C$3,tblPlan[Final build week (Monday)],"&gt;="&amp;(AC$11+7*(IFERROR(INDEX(tblContracts[AMPS-build lead (weeks before final build)],MATCH($C$3,tblContracts[Contract ID],0)),0))),tblPlan[Final build week (Monday)],"&lt;"&amp;(AC$11+7*(IFERROR(INDEX(tblContracts[AMPS-build lead (weeks before final build)],MATCH($C$3,tblContracts[Contract ID],0)),0))+7))=0,"",SUMIFS(tblPlan[Repeaters planned],tblPlan[Contract],$C$3,tblPlan[Final build week (Monday)],"&gt;="&amp;(AC$11+7*(IFERROR(INDEX(tblContracts[AMPS-build lead (weeks before final build)],MATCH($C$3,tblContracts[Contract ID],0)),0))),tblPlan[Final build week (Monday)],"&lt;"&amp;(AC$11+7*(IFERROR(INDEX(tblContracts[AMPS-build lead (weeks before final build)],MATCH($C$3,tblContracts[Contract ID],0)),0))+7)))</f>
        <v/>
      </c>
      <c r="AD14" s="62">
        <f>IF(SUMIFS(tblPlan[Repeaters planned],tblPlan[Contract],$C$3,tblPlan[Final build week (Monday)],"&gt;="&amp;(AD$11+7*(IFERROR(INDEX(tblContracts[AMPS-build lead (weeks before final build)],MATCH($C$3,tblContracts[Contract ID],0)),0))),tblPlan[Final build week (Monday)],"&lt;"&amp;(AD$11+7*(IFERROR(INDEX(tblContracts[AMPS-build lead (weeks before final build)],MATCH($C$3,tblContracts[Contract ID],0)),0))+7))=0,"",SUMIFS(tblPlan[Repeaters planned],tblPlan[Contract],$C$3,tblPlan[Final build week (Monday)],"&gt;="&amp;(AD$11+7*(IFERROR(INDEX(tblContracts[AMPS-build lead (weeks before final build)],MATCH($C$3,tblContracts[Contract ID],0)),0))),tblPlan[Final build week (Monday)],"&lt;"&amp;(AD$11+7*(IFERROR(INDEX(tblContracts[AMPS-build lead (weeks before final build)],MATCH($C$3,tblContracts[Contract ID],0)),0))+7)))</f>
        <v/>
      </c>
      <c r="AE14" s="62">
        <f>IF(SUMIFS(tblPlan[Repeaters planned],tblPlan[Contract],$C$3,tblPlan[Final build week (Monday)],"&gt;="&amp;(AE$11+7*(IFERROR(INDEX(tblContracts[AMPS-build lead (weeks before final build)],MATCH($C$3,tblContracts[Contract ID],0)),0))),tblPlan[Final build week (Monday)],"&lt;"&amp;(AE$11+7*(IFERROR(INDEX(tblContracts[AMPS-build lead (weeks before final build)],MATCH($C$3,tblContracts[Contract ID],0)),0))+7))=0,"",SUMIFS(tblPlan[Repeaters planned],tblPlan[Contract],$C$3,tblPlan[Final build week (Monday)],"&gt;="&amp;(AE$11+7*(IFERROR(INDEX(tblContracts[AMPS-build lead (weeks before final build)],MATCH($C$3,tblContracts[Contract ID],0)),0))),tblPlan[Final build week (Monday)],"&lt;"&amp;(AE$11+7*(IFERROR(INDEX(tblContracts[AMPS-build lead (weeks before final build)],MATCH($C$3,tblContracts[Contract ID],0)),0))+7)))</f>
        <v/>
      </c>
      <c r="AF14" s="62">
        <f>IF(SUMIFS(tblPlan[Repeaters planned],tblPlan[Contract],$C$3,tblPlan[Final build week (Monday)],"&gt;="&amp;(AF$11+7*(IFERROR(INDEX(tblContracts[AMPS-build lead (weeks before final build)],MATCH($C$3,tblContracts[Contract ID],0)),0))),tblPlan[Final build week (Monday)],"&lt;"&amp;(AF$11+7*(IFERROR(INDEX(tblContracts[AMPS-build lead (weeks before final build)],MATCH($C$3,tblContracts[Contract ID],0)),0))+7))=0,"",SUMIFS(tblPlan[Repeaters planned],tblPlan[Contract],$C$3,tblPlan[Final build week (Monday)],"&gt;="&amp;(AF$11+7*(IFERROR(INDEX(tblContracts[AMPS-build lead (weeks before final build)],MATCH($C$3,tblContracts[Contract ID],0)),0))),tblPlan[Final build week (Monday)],"&lt;"&amp;(AF$11+7*(IFERROR(INDEX(tblContracts[AMPS-build lead (weeks before final build)],MATCH($C$3,tblContracts[Contract ID],0)),0))+7)))</f>
        <v/>
      </c>
      <c r="AG14" s="62">
        <f>IF(SUMIFS(tblPlan[Repeaters planned],tblPlan[Contract],$C$3,tblPlan[Final build week (Monday)],"&gt;="&amp;(AG$11+7*(IFERROR(INDEX(tblContracts[AMPS-build lead (weeks before final build)],MATCH($C$3,tblContracts[Contract ID],0)),0))),tblPlan[Final build week (Monday)],"&lt;"&amp;(AG$11+7*(IFERROR(INDEX(tblContracts[AMPS-build lead (weeks before final build)],MATCH($C$3,tblContracts[Contract ID],0)),0))+7))=0,"",SUMIFS(tblPlan[Repeaters planned],tblPlan[Contract],$C$3,tblPlan[Final build week (Monday)],"&gt;="&amp;(AG$11+7*(IFERROR(INDEX(tblContracts[AMPS-build lead (weeks before final build)],MATCH($C$3,tblContracts[Contract ID],0)),0))),tblPlan[Final build week (Monday)],"&lt;"&amp;(AG$11+7*(IFERROR(INDEX(tblContracts[AMPS-build lead (weeks before final build)],MATCH($C$3,tblContracts[Contract ID],0)),0))+7)))</f>
        <v/>
      </c>
      <c r="AH14" s="62">
        <f>IF(SUMIFS(tblPlan[Repeaters planned],tblPlan[Contract],$C$3,tblPlan[Final build week (Monday)],"&gt;="&amp;(AH$11+7*(IFERROR(INDEX(tblContracts[AMPS-build lead (weeks before final build)],MATCH($C$3,tblContracts[Contract ID],0)),0))),tblPlan[Final build week (Monday)],"&lt;"&amp;(AH$11+7*(IFERROR(INDEX(tblContracts[AMPS-build lead (weeks before final build)],MATCH($C$3,tblContracts[Contract ID],0)),0))+7))=0,"",SUMIFS(tblPlan[Repeaters planned],tblPlan[Contract],$C$3,tblPlan[Final build week (Monday)],"&gt;="&amp;(AH$11+7*(IFERROR(INDEX(tblContracts[AMPS-build lead (weeks before final build)],MATCH($C$3,tblContracts[Contract ID],0)),0))),tblPlan[Final build week (Monday)],"&lt;"&amp;(AH$11+7*(IFERROR(INDEX(tblContracts[AMPS-build lead (weeks before final build)],MATCH($C$3,tblContracts[Contract ID],0)),0))+7)))</f>
        <v/>
      </c>
      <c r="AI14" s="62">
        <f>IF(SUMIFS(tblPlan[Repeaters planned],tblPlan[Contract],$C$3,tblPlan[Final build week (Monday)],"&gt;="&amp;(AI$11+7*(IFERROR(INDEX(tblContracts[AMPS-build lead (weeks before final build)],MATCH($C$3,tblContracts[Contract ID],0)),0))),tblPlan[Final build week (Monday)],"&lt;"&amp;(AI$11+7*(IFERROR(INDEX(tblContracts[AMPS-build lead (weeks before final build)],MATCH($C$3,tblContracts[Contract ID],0)),0))+7))=0,"",SUMIFS(tblPlan[Repeaters planned],tblPlan[Contract],$C$3,tblPlan[Final build week (Monday)],"&gt;="&amp;(AI$11+7*(IFERROR(INDEX(tblContracts[AMPS-build lead (weeks before final build)],MATCH($C$3,tblContracts[Contract ID],0)),0))),tblPlan[Final build week (Monday)],"&lt;"&amp;(AI$11+7*(IFERROR(INDEX(tblContracts[AMPS-build lead (weeks before final build)],MATCH($C$3,tblContracts[Contract ID],0)),0))+7)))</f>
        <v/>
      </c>
      <c r="AJ14" s="62">
        <f>IF(SUMIFS(tblPlan[Repeaters planned],tblPlan[Contract],$C$3,tblPlan[Final build week (Monday)],"&gt;="&amp;(AJ$11+7*(IFERROR(INDEX(tblContracts[AMPS-build lead (weeks before final build)],MATCH($C$3,tblContracts[Contract ID],0)),0))),tblPlan[Final build week (Monday)],"&lt;"&amp;(AJ$11+7*(IFERROR(INDEX(tblContracts[AMPS-build lead (weeks before final build)],MATCH($C$3,tblContracts[Contract ID],0)),0))+7))=0,"",SUMIFS(tblPlan[Repeaters planned],tblPlan[Contract],$C$3,tblPlan[Final build week (Monday)],"&gt;="&amp;(AJ$11+7*(IFERROR(INDEX(tblContracts[AMPS-build lead (weeks before final build)],MATCH($C$3,tblContracts[Contract ID],0)),0))),tblPlan[Final build week (Monday)],"&lt;"&amp;(AJ$11+7*(IFERROR(INDEX(tblContracts[AMPS-build lead (weeks before final build)],MATCH($C$3,tblContracts[Contract ID],0)),0))+7)))</f>
        <v/>
      </c>
      <c r="AK14" s="62">
        <f>IF(SUMIFS(tblPlan[Repeaters planned],tblPlan[Contract],$C$3,tblPlan[Final build week (Monday)],"&gt;="&amp;(AK$11+7*(IFERROR(INDEX(tblContracts[AMPS-build lead (weeks before final build)],MATCH($C$3,tblContracts[Contract ID],0)),0))),tblPlan[Final build week (Monday)],"&lt;"&amp;(AK$11+7*(IFERROR(INDEX(tblContracts[AMPS-build lead (weeks before final build)],MATCH($C$3,tblContracts[Contract ID],0)),0))+7))=0,"",SUMIFS(tblPlan[Repeaters planned],tblPlan[Contract],$C$3,tblPlan[Final build week (Monday)],"&gt;="&amp;(AK$11+7*(IFERROR(INDEX(tblContracts[AMPS-build lead (weeks before final build)],MATCH($C$3,tblContracts[Contract ID],0)),0))),tblPlan[Final build week (Monday)],"&lt;"&amp;(AK$11+7*(IFERROR(INDEX(tblContracts[AMPS-build lead (weeks before final build)],MATCH($C$3,tblContracts[Contract ID],0)),0))+7)))</f>
        <v/>
      </c>
      <c r="AL14" s="62">
        <f>IF(SUMIFS(tblPlan[Repeaters planned],tblPlan[Contract],$C$3,tblPlan[Final build week (Monday)],"&gt;="&amp;(AL$11+7*(IFERROR(INDEX(tblContracts[AMPS-build lead (weeks before final build)],MATCH($C$3,tblContracts[Contract ID],0)),0))),tblPlan[Final build week (Monday)],"&lt;"&amp;(AL$11+7*(IFERROR(INDEX(tblContracts[AMPS-build lead (weeks before final build)],MATCH($C$3,tblContracts[Contract ID],0)),0))+7))=0,"",SUMIFS(tblPlan[Repeaters planned],tblPlan[Contract],$C$3,tblPlan[Final build week (Monday)],"&gt;="&amp;(AL$11+7*(IFERROR(INDEX(tblContracts[AMPS-build lead (weeks before final build)],MATCH($C$3,tblContracts[Contract ID],0)),0))),tblPlan[Final build week (Monday)],"&lt;"&amp;(AL$11+7*(IFERROR(INDEX(tblContracts[AMPS-build lead (weeks before final build)],MATCH($C$3,tblContracts[Contract ID],0)),0))+7)))</f>
        <v/>
      </c>
      <c r="AM14" s="62">
        <f>IF(SUMIFS(tblPlan[Repeaters planned],tblPlan[Contract],$C$3,tblPlan[Final build week (Monday)],"&gt;="&amp;(AM$11+7*(IFERROR(INDEX(tblContracts[AMPS-build lead (weeks before final build)],MATCH($C$3,tblContracts[Contract ID],0)),0))),tblPlan[Final build week (Monday)],"&lt;"&amp;(AM$11+7*(IFERROR(INDEX(tblContracts[AMPS-build lead (weeks before final build)],MATCH($C$3,tblContracts[Contract ID],0)),0))+7))=0,"",SUMIFS(tblPlan[Repeaters planned],tblPlan[Contract],$C$3,tblPlan[Final build week (Monday)],"&gt;="&amp;(AM$11+7*(IFERROR(INDEX(tblContracts[AMPS-build lead (weeks before final build)],MATCH($C$3,tblContracts[Contract ID],0)),0))),tblPlan[Final build week (Monday)],"&lt;"&amp;(AM$11+7*(IFERROR(INDEX(tblContracts[AMPS-build lead (weeks before final build)],MATCH($C$3,tblContracts[Contract ID],0)),0))+7)))</f>
        <v/>
      </c>
      <c r="AN14" s="62">
        <f>IF(SUMIFS(tblPlan[Repeaters planned],tblPlan[Contract],$C$3,tblPlan[Final build week (Monday)],"&gt;="&amp;(AN$11+7*(IFERROR(INDEX(tblContracts[AMPS-build lead (weeks before final build)],MATCH($C$3,tblContracts[Contract ID],0)),0))),tblPlan[Final build week (Monday)],"&lt;"&amp;(AN$11+7*(IFERROR(INDEX(tblContracts[AMPS-build lead (weeks before final build)],MATCH($C$3,tblContracts[Contract ID],0)),0))+7))=0,"",SUMIFS(tblPlan[Repeaters planned],tblPlan[Contract],$C$3,tblPlan[Final build week (Monday)],"&gt;="&amp;(AN$11+7*(IFERROR(INDEX(tblContracts[AMPS-build lead (weeks before final build)],MATCH($C$3,tblContracts[Contract ID],0)),0))),tblPlan[Final build week (Monday)],"&lt;"&amp;(AN$11+7*(IFERROR(INDEX(tblContracts[AMPS-build lead (weeks before final build)],MATCH($C$3,tblContracts[Contract ID],0)),0))+7)))</f>
        <v/>
      </c>
      <c r="AO14" s="62">
        <f>IF(SUMIFS(tblPlan[Repeaters planned],tblPlan[Contract],$C$3,tblPlan[Final build week (Monday)],"&gt;="&amp;(AO$11+7*(IFERROR(INDEX(tblContracts[AMPS-build lead (weeks before final build)],MATCH($C$3,tblContracts[Contract ID],0)),0))),tblPlan[Final build week (Monday)],"&lt;"&amp;(AO$11+7*(IFERROR(INDEX(tblContracts[AMPS-build lead (weeks before final build)],MATCH($C$3,tblContracts[Contract ID],0)),0))+7))=0,"",SUMIFS(tblPlan[Repeaters planned],tblPlan[Contract],$C$3,tblPlan[Final build week (Monday)],"&gt;="&amp;(AO$11+7*(IFERROR(INDEX(tblContracts[AMPS-build lead (weeks before final build)],MATCH($C$3,tblContracts[Contract ID],0)),0))),tblPlan[Final build week (Monday)],"&lt;"&amp;(AO$11+7*(IFERROR(INDEX(tblContracts[AMPS-build lead (weeks before final build)],MATCH($C$3,tblContracts[Contract ID],0)),0))+7)))</f>
        <v/>
      </c>
      <c r="AP14" s="62">
        <f>IF(SUMIFS(tblPlan[Repeaters planned],tblPlan[Contract],$C$3,tblPlan[Final build week (Monday)],"&gt;="&amp;(AP$11+7*(IFERROR(INDEX(tblContracts[AMPS-build lead (weeks before final build)],MATCH($C$3,tblContracts[Contract ID],0)),0))),tblPlan[Final build week (Monday)],"&lt;"&amp;(AP$11+7*(IFERROR(INDEX(tblContracts[AMPS-build lead (weeks before final build)],MATCH($C$3,tblContracts[Contract ID],0)),0))+7))=0,"",SUMIFS(tblPlan[Repeaters planned],tblPlan[Contract],$C$3,tblPlan[Final build week (Monday)],"&gt;="&amp;(AP$11+7*(IFERROR(INDEX(tblContracts[AMPS-build lead (weeks before final build)],MATCH($C$3,tblContracts[Contract ID],0)),0))),tblPlan[Final build week (Monday)],"&lt;"&amp;(AP$11+7*(IFERROR(INDEX(tblContracts[AMPS-build lead (weeks before final build)],MATCH($C$3,tblContracts[Contract ID],0)),0))+7)))</f>
        <v/>
      </c>
      <c r="AQ14" s="62">
        <f>IF(SUMIFS(tblPlan[Repeaters planned],tblPlan[Contract],$C$3,tblPlan[Final build week (Monday)],"&gt;="&amp;(AQ$11+7*(IFERROR(INDEX(tblContracts[AMPS-build lead (weeks before final build)],MATCH($C$3,tblContracts[Contract ID],0)),0))),tblPlan[Final build week (Monday)],"&lt;"&amp;(AQ$11+7*(IFERROR(INDEX(tblContracts[AMPS-build lead (weeks before final build)],MATCH($C$3,tblContracts[Contract ID],0)),0))+7))=0,"",SUMIFS(tblPlan[Repeaters planned],tblPlan[Contract],$C$3,tblPlan[Final build week (Monday)],"&gt;="&amp;(AQ$11+7*(IFERROR(INDEX(tblContracts[AMPS-build lead (weeks before final build)],MATCH($C$3,tblContracts[Contract ID],0)),0))),tblPlan[Final build week (Monday)],"&lt;"&amp;(AQ$11+7*(IFERROR(INDEX(tblContracts[AMPS-build lead (weeks before final build)],MATCH($C$3,tblContracts[Contract ID],0)),0))+7)))</f>
        <v/>
      </c>
      <c r="AR14" s="62">
        <f>IF(SUMIFS(tblPlan[Repeaters planned],tblPlan[Contract],$C$3,tblPlan[Final build week (Monday)],"&gt;="&amp;(AR$11+7*(IFERROR(INDEX(tblContracts[AMPS-build lead (weeks before final build)],MATCH($C$3,tblContracts[Contract ID],0)),0))),tblPlan[Final build week (Monday)],"&lt;"&amp;(AR$11+7*(IFERROR(INDEX(tblContracts[AMPS-build lead (weeks before final build)],MATCH($C$3,tblContracts[Contract ID],0)),0))+7))=0,"",SUMIFS(tblPlan[Repeaters planned],tblPlan[Contract],$C$3,tblPlan[Final build week (Monday)],"&gt;="&amp;(AR$11+7*(IFERROR(INDEX(tblContracts[AMPS-build lead (weeks before final build)],MATCH($C$3,tblContracts[Contract ID],0)),0))),tblPlan[Final build week (Monday)],"&lt;"&amp;(AR$11+7*(IFERROR(INDEX(tblContracts[AMPS-build lead (weeks before final build)],MATCH($C$3,tblContracts[Contract ID],0)),0))+7)))</f>
        <v/>
      </c>
      <c r="AS14" s="62">
        <f>IF(SUMIFS(tblPlan[Repeaters planned],tblPlan[Contract],$C$3,tblPlan[Final build week (Monday)],"&gt;="&amp;(AS$11+7*(IFERROR(INDEX(tblContracts[AMPS-build lead (weeks before final build)],MATCH($C$3,tblContracts[Contract ID],0)),0))),tblPlan[Final build week (Monday)],"&lt;"&amp;(AS$11+7*(IFERROR(INDEX(tblContracts[AMPS-build lead (weeks before final build)],MATCH($C$3,tblContracts[Contract ID],0)),0))+7))=0,"",SUMIFS(tblPlan[Repeaters planned],tblPlan[Contract],$C$3,tblPlan[Final build week (Monday)],"&gt;="&amp;(AS$11+7*(IFERROR(INDEX(tblContracts[AMPS-build lead (weeks before final build)],MATCH($C$3,tblContracts[Contract ID],0)),0))),tblPlan[Final build week (Monday)],"&lt;"&amp;(AS$11+7*(IFERROR(INDEX(tblContracts[AMPS-build lead (weeks before final build)],MATCH($C$3,tblContracts[Contract ID],0)),0))+7)))</f>
        <v/>
      </c>
      <c r="AT14" s="62">
        <f>IF(SUMIFS(tblPlan[Repeaters planned],tblPlan[Contract],$C$3,tblPlan[Final build week (Monday)],"&gt;="&amp;(AT$11+7*(IFERROR(INDEX(tblContracts[AMPS-build lead (weeks before final build)],MATCH($C$3,tblContracts[Contract ID],0)),0))),tblPlan[Final build week (Monday)],"&lt;"&amp;(AT$11+7*(IFERROR(INDEX(tblContracts[AMPS-build lead (weeks before final build)],MATCH($C$3,tblContracts[Contract ID],0)),0))+7))=0,"",SUMIFS(tblPlan[Repeaters planned],tblPlan[Contract],$C$3,tblPlan[Final build week (Monday)],"&gt;="&amp;(AT$11+7*(IFERROR(INDEX(tblContracts[AMPS-build lead (weeks before final build)],MATCH($C$3,tblContracts[Contract ID],0)),0))),tblPlan[Final build week (Monday)],"&lt;"&amp;(AT$11+7*(IFERROR(INDEX(tblContracts[AMPS-build lead (weeks before final build)],MATCH($C$3,tblContracts[Contract ID],0)),0))+7)))</f>
        <v/>
      </c>
      <c r="AU14" s="62">
        <f>IF(SUMIFS(tblPlan[Repeaters planned],tblPlan[Contract],$C$3,tblPlan[Final build week (Monday)],"&gt;="&amp;(AU$11+7*(IFERROR(INDEX(tblContracts[AMPS-build lead (weeks before final build)],MATCH($C$3,tblContracts[Contract ID],0)),0))),tblPlan[Final build week (Monday)],"&lt;"&amp;(AU$11+7*(IFERROR(INDEX(tblContracts[AMPS-build lead (weeks before final build)],MATCH($C$3,tblContracts[Contract ID],0)),0))+7))=0,"",SUMIFS(tblPlan[Repeaters planned],tblPlan[Contract],$C$3,tblPlan[Final build week (Monday)],"&gt;="&amp;(AU$11+7*(IFERROR(INDEX(tblContracts[AMPS-build lead (weeks before final build)],MATCH($C$3,tblContracts[Contract ID],0)),0))),tblPlan[Final build week (Monday)],"&lt;"&amp;(AU$11+7*(IFERROR(INDEX(tblContracts[AMPS-build lead (weeks before final build)],MATCH($C$3,tblContracts[Contract ID],0)),0))+7)))</f>
        <v/>
      </c>
      <c r="AV14" s="62">
        <f>IF(SUMIFS(tblPlan[Repeaters planned],tblPlan[Contract],$C$3,tblPlan[Final build week (Monday)],"&gt;="&amp;(AV$11+7*(IFERROR(INDEX(tblContracts[AMPS-build lead (weeks before final build)],MATCH($C$3,tblContracts[Contract ID],0)),0))),tblPlan[Final build week (Monday)],"&lt;"&amp;(AV$11+7*(IFERROR(INDEX(tblContracts[AMPS-build lead (weeks before final build)],MATCH($C$3,tblContracts[Contract ID],0)),0))+7))=0,"",SUMIFS(tblPlan[Repeaters planned],tblPlan[Contract],$C$3,tblPlan[Final build week (Monday)],"&gt;="&amp;(AV$11+7*(IFERROR(INDEX(tblContracts[AMPS-build lead (weeks before final build)],MATCH($C$3,tblContracts[Contract ID],0)),0))),tblPlan[Final build week (Monday)],"&lt;"&amp;(AV$11+7*(IFERROR(INDEX(tblContracts[AMPS-build lead (weeks before final build)],MATCH($C$3,tblContracts[Contract ID],0)),0))+7)))</f>
        <v/>
      </c>
      <c r="AW14" s="62">
        <f>IF(SUMIFS(tblPlan[Repeaters planned],tblPlan[Contract],$C$3,tblPlan[Final build week (Monday)],"&gt;="&amp;(AW$11+7*(IFERROR(INDEX(tblContracts[AMPS-build lead (weeks before final build)],MATCH($C$3,tblContracts[Contract ID],0)),0))),tblPlan[Final build week (Monday)],"&lt;"&amp;(AW$11+7*(IFERROR(INDEX(tblContracts[AMPS-build lead (weeks before final build)],MATCH($C$3,tblContracts[Contract ID],0)),0))+7))=0,"",SUMIFS(tblPlan[Repeaters planned],tblPlan[Contract],$C$3,tblPlan[Final build week (Monday)],"&gt;="&amp;(AW$11+7*(IFERROR(INDEX(tblContracts[AMPS-build lead (weeks before final build)],MATCH($C$3,tblContracts[Contract ID],0)),0))),tblPlan[Final build week (Monday)],"&lt;"&amp;(AW$11+7*(IFERROR(INDEX(tblContracts[AMPS-build lead (weeks before final build)],MATCH($C$3,tblContracts[Contract ID],0)),0))+7)))</f>
        <v/>
      </c>
      <c r="AX14" s="62">
        <f>IF(SUMIFS(tblPlan[Repeaters planned],tblPlan[Contract],$C$3,tblPlan[Final build week (Monday)],"&gt;="&amp;(AX$11+7*(IFERROR(INDEX(tblContracts[AMPS-build lead (weeks before final build)],MATCH($C$3,tblContracts[Contract ID],0)),0))),tblPlan[Final build week (Monday)],"&lt;"&amp;(AX$11+7*(IFERROR(INDEX(tblContracts[AMPS-build lead (weeks before final build)],MATCH($C$3,tblContracts[Contract ID],0)),0))+7))=0,"",SUMIFS(tblPlan[Repeaters planned],tblPlan[Contract],$C$3,tblPlan[Final build week (Monday)],"&gt;="&amp;(AX$11+7*(IFERROR(INDEX(tblContracts[AMPS-build lead (weeks before final build)],MATCH($C$3,tblContracts[Contract ID],0)),0))),tblPlan[Final build week (Monday)],"&lt;"&amp;(AX$11+7*(IFERROR(INDEX(tblContracts[AMPS-build lead (weeks before final build)],MATCH($C$3,tblContracts[Contract ID],0)),0))+7)))</f>
        <v/>
      </c>
      <c r="AY14" s="62">
        <f>IF(SUMIFS(tblPlan[Repeaters planned],tblPlan[Contract],$C$3,tblPlan[Final build week (Monday)],"&gt;="&amp;(AY$11+7*(IFERROR(INDEX(tblContracts[AMPS-build lead (weeks before final build)],MATCH($C$3,tblContracts[Contract ID],0)),0))),tblPlan[Final build week (Monday)],"&lt;"&amp;(AY$11+7*(IFERROR(INDEX(tblContracts[AMPS-build lead (weeks before final build)],MATCH($C$3,tblContracts[Contract ID],0)),0))+7))=0,"",SUMIFS(tblPlan[Repeaters planned],tblPlan[Contract],$C$3,tblPlan[Final build week (Monday)],"&gt;="&amp;(AY$11+7*(IFERROR(INDEX(tblContracts[AMPS-build lead (weeks before final build)],MATCH($C$3,tblContracts[Contract ID],0)),0))),tblPlan[Final build week (Monday)],"&lt;"&amp;(AY$11+7*(IFERROR(INDEX(tblContracts[AMPS-build lead (weeks before final build)],MATCH($C$3,tblContracts[Contract ID],0)),0))+7)))</f>
        <v/>
      </c>
      <c r="AZ14" s="62">
        <f>IF(SUMIFS(tblPlan[Repeaters planned],tblPlan[Contract],$C$3,tblPlan[Final build week (Monday)],"&gt;="&amp;(AZ$11+7*(IFERROR(INDEX(tblContracts[AMPS-build lead (weeks before final build)],MATCH($C$3,tblContracts[Contract ID],0)),0))),tblPlan[Final build week (Monday)],"&lt;"&amp;(AZ$11+7*(IFERROR(INDEX(tblContracts[AMPS-build lead (weeks before final build)],MATCH($C$3,tblContracts[Contract ID],0)),0))+7))=0,"",SUMIFS(tblPlan[Repeaters planned],tblPlan[Contract],$C$3,tblPlan[Final build week (Monday)],"&gt;="&amp;(AZ$11+7*(IFERROR(INDEX(tblContracts[AMPS-build lead (weeks before final build)],MATCH($C$3,tblContracts[Contract ID],0)),0))),tblPlan[Final build week (Monday)],"&lt;"&amp;(AZ$11+7*(IFERROR(INDEX(tblContracts[AMPS-build lead (weeks before final build)],MATCH($C$3,tblContracts[Contract ID],0)),0))+7)))</f>
        <v/>
      </c>
      <c r="BA14" s="62">
        <f>IF(SUMIFS(tblPlan[Repeaters planned],tblPlan[Contract],$C$3,tblPlan[Final build week (Monday)],"&gt;="&amp;(BA$11+7*(IFERROR(INDEX(tblContracts[AMPS-build lead (weeks before final build)],MATCH($C$3,tblContracts[Contract ID],0)),0))),tblPlan[Final build week (Monday)],"&lt;"&amp;(BA$11+7*(IFERROR(INDEX(tblContracts[AMPS-build lead (weeks before final build)],MATCH($C$3,tblContracts[Contract ID],0)),0))+7))=0,"",SUMIFS(tblPlan[Repeaters planned],tblPlan[Contract],$C$3,tblPlan[Final build week (Monday)],"&gt;="&amp;(BA$11+7*(IFERROR(INDEX(tblContracts[AMPS-build lead (weeks before final build)],MATCH($C$3,tblContracts[Contract ID],0)),0))),tblPlan[Final build week (Monday)],"&lt;"&amp;(BA$11+7*(IFERROR(INDEX(tblContracts[AMPS-build lead (weeks before final build)],MATCH($C$3,tblContracts[Contract ID],0)),0))+7)))</f>
        <v/>
      </c>
      <c r="BB14" s="62">
        <f>IF(SUMIFS(tblPlan[Repeaters planned],tblPlan[Contract],$C$3,tblPlan[Final build week (Monday)],"&gt;="&amp;(BB$11+7*(IFERROR(INDEX(tblContracts[AMPS-build lead (weeks before final build)],MATCH($C$3,tblContracts[Contract ID],0)),0))),tblPlan[Final build week (Monday)],"&lt;"&amp;(BB$11+7*(IFERROR(INDEX(tblContracts[AMPS-build lead (weeks before final build)],MATCH($C$3,tblContracts[Contract ID],0)),0))+7))=0,"",SUMIFS(tblPlan[Repeaters planned],tblPlan[Contract],$C$3,tblPlan[Final build week (Monday)],"&gt;="&amp;(BB$11+7*(IFERROR(INDEX(tblContracts[AMPS-build lead (weeks before final build)],MATCH($C$3,tblContracts[Contract ID],0)),0))),tblPlan[Final build week (Monday)],"&lt;"&amp;(BB$11+7*(IFERROR(INDEX(tblContracts[AMPS-build lead (weeks before final build)],MATCH($C$3,tblContracts[Contract ID],0)),0))+7)))</f>
        <v/>
      </c>
      <c r="BC14" s="62">
        <f>IF(SUMIFS(tblPlan[Repeaters planned],tblPlan[Contract],$C$3,tblPlan[Final build week (Monday)],"&gt;="&amp;(BC$11+7*(IFERROR(INDEX(tblContracts[AMPS-build lead (weeks before final build)],MATCH($C$3,tblContracts[Contract ID],0)),0))),tblPlan[Final build week (Monday)],"&lt;"&amp;(BC$11+7*(IFERROR(INDEX(tblContracts[AMPS-build lead (weeks before final build)],MATCH($C$3,tblContracts[Contract ID],0)),0))+7))=0,"",SUMIFS(tblPlan[Repeaters planned],tblPlan[Contract],$C$3,tblPlan[Final build week (Monday)],"&gt;="&amp;(BC$11+7*(IFERROR(INDEX(tblContracts[AMPS-build lead (weeks before final build)],MATCH($C$3,tblContracts[Contract ID],0)),0))),tblPlan[Final build week (Monday)],"&lt;"&amp;(BC$11+7*(IFERROR(INDEX(tblContracts[AMPS-build lead (weeks before final build)],MATCH($C$3,tblContracts[Contract ID],0)),0))+7)))</f>
        <v/>
      </c>
      <c r="BD14" s="62">
        <f>IF(SUMIFS(tblPlan[Repeaters planned],tblPlan[Contract],$C$3,tblPlan[Final build week (Monday)],"&gt;="&amp;(BD$11+7*(IFERROR(INDEX(tblContracts[AMPS-build lead (weeks before final build)],MATCH($C$3,tblContracts[Contract ID],0)),0))),tblPlan[Final build week (Monday)],"&lt;"&amp;(BD$11+7*(IFERROR(INDEX(tblContracts[AMPS-build lead (weeks before final build)],MATCH($C$3,tblContracts[Contract ID],0)),0))+7))=0,"",SUMIFS(tblPlan[Repeaters planned],tblPlan[Contract],$C$3,tblPlan[Final build week (Monday)],"&gt;="&amp;(BD$11+7*(IFERROR(INDEX(tblContracts[AMPS-build lead (weeks before final build)],MATCH($C$3,tblContracts[Contract ID],0)),0))),tblPlan[Final build week (Monday)],"&lt;"&amp;(BD$11+7*(IFERROR(INDEX(tblContracts[AMPS-build lead (weeks before final build)],MATCH($C$3,tblContracts[Contract ID],0)),0))+7)))</f>
        <v/>
      </c>
    </row>
    <row r="15" ht="20" customHeight="1">
      <c r="B15" s="63" t="inlineStr">
        <is>
          <t>Final build / housing</t>
        </is>
      </c>
      <c r="C15" s="8" t="inlineStr">
        <is>
          <t>W (plan week)</t>
        </is>
      </c>
      <c r="D15" s="62">
        <f>SUMIFS(tblPlan[Repeaters planned],tblPlan[Contract],$C$3,tblPlan[Final build week (Monday)],"&gt;="&amp;($D$5+7*(0)),tblPlan[Final build week (Monday)],"&lt;"&amp;($D$5+7*(0+52)))</f>
        <v/>
      </c>
      <c r="E15" s="62">
        <f>IF(SUMIFS(tblPlan[Repeaters planned],tblPlan[Contract],$C$3,tblPlan[Final build week (Monday)],"&gt;="&amp;(E$11+7*(0)),tblPlan[Final build week (Monday)],"&lt;"&amp;(E$11+7*(0)+7))=0,"",SUMIFS(tblPlan[Repeaters planned],tblPlan[Contract],$C$3,tblPlan[Final build week (Monday)],"&gt;="&amp;(E$11+7*(0)),tblPlan[Final build week (Monday)],"&lt;"&amp;(E$11+7*(0)+7)))</f>
        <v/>
      </c>
      <c r="F15" s="62">
        <f>IF(SUMIFS(tblPlan[Repeaters planned],tblPlan[Contract],$C$3,tblPlan[Final build week (Monday)],"&gt;="&amp;(F$11+7*(0)),tblPlan[Final build week (Monday)],"&lt;"&amp;(F$11+7*(0)+7))=0,"",SUMIFS(tblPlan[Repeaters planned],tblPlan[Contract],$C$3,tblPlan[Final build week (Monday)],"&gt;="&amp;(F$11+7*(0)),tblPlan[Final build week (Monday)],"&lt;"&amp;(F$11+7*(0)+7)))</f>
        <v/>
      </c>
      <c r="G15" s="62">
        <f>IF(SUMIFS(tblPlan[Repeaters planned],tblPlan[Contract],$C$3,tblPlan[Final build week (Monday)],"&gt;="&amp;(G$11+7*(0)),tblPlan[Final build week (Monday)],"&lt;"&amp;(G$11+7*(0)+7))=0,"",SUMIFS(tblPlan[Repeaters planned],tblPlan[Contract],$C$3,tblPlan[Final build week (Monday)],"&gt;="&amp;(G$11+7*(0)),tblPlan[Final build week (Monday)],"&lt;"&amp;(G$11+7*(0)+7)))</f>
        <v/>
      </c>
      <c r="H15" s="62">
        <f>IF(SUMIFS(tblPlan[Repeaters planned],tblPlan[Contract],$C$3,tblPlan[Final build week (Monday)],"&gt;="&amp;(H$11+7*(0)),tblPlan[Final build week (Monday)],"&lt;"&amp;(H$11+7*(0)+7))=0,"",SUMIFS(tblPlan[Repeaters planned],tblPlan[Contract],$C$3,tblPlan[Final build week (Monday)],"&gt;="&amp;(H$11+7*(0)),tblPlan[Final build week (Monday)],"&lt;"&amp;(H$11+7*(0)+7)))</f>
        <v/>
      </c>
      <c r="I15" s="62">
        <f>IF(SUMIFS(tblPlan[Repeaters planned],tblPlan[Contract],$C$3,tblPlan[Final build week (Monday)],"&gt;="&amp;(I$11+7*(0)),tblPlan[Final build week (Monday)],"&lt;"&amp;(I$11+7*(0)+7))=0,"",SUMIFS(tblPlan[Repeaters planned],tblPlan[Contract],$C$3,tblPlan[Final build week (Monday)],"&gt;="&amp;(I$11+7*(0)),tblPlan[Final build week (Monday)],"&lt;"&amp;(I$11+7*(0)+7)))</f>
        <v/>
      </c>
      <c r="J15" s="62">
        <f>IF(SUMIFS(tblPlan[Repeaters planned],tblPlan[Contract],$C$3,tblPlan[Final build week (Monday)],"&gt;="&amp;(J$11+7*(0)),tblPlan[Final build week (Monday)],"&lt;"&amp;(J$11+7*(0)+7))=0,"",SUMIFS(tblPlan[Repeaters planned],tblPlan[Contract],$C$3,tblPlan[Final build week (Monday)],"&gt;="&amp;(J$11+7*(0)),tblPlan[Final build week (Monday)],"&lt;"&amp;(J$11+7*(0)+7)))</f>
        <v/>
      </c>
      <c r="K15" s="62">
        <f>IF(SUMIFS(tblPlan[Repeaters planned],tblPlan[Contract],$C$3,tblPlan[Final build week (Monday)],"&gt;="&amp;(K$11+7*(0)),tblPlan[Final build week (Monday)],"&lt;"&amp;(K$11+7*(0)+7))=0,"",SUMIFS(tblPlan[Repeaters planned],tblPlan[Contract],$C$3,tblPlan[Final build week (Monday)],"&gt;="&amp;(K$11+7*(0)),tblPlan[Final build week (Monday)],"&lt;"&amp;(K$11+7*(0)+7)))</f>
        <v/>
      </c>
      <c r="L15" s="62">
        <f>IF(SUMIFS(tblPlan[Repeaters planned],tblPlan[Contract],$C$3,tblPlan[Final build week (Monday)],"&gt;="&amp;(L$11+7*(0)),tblPlan[Final build week (Monday)],"&lt;"&amp;(L$11+7*(0)+7))=0,"",SUMIFS(tblPlan[Repeaters planned],tblPlan[Contract],$C$3,tblPlan[Final build week (Monday)],"&gt;="&amp;(L$11+7*(0)),tblPlan[Final build week (Monday)],"&lt;"&amp;(L$11+7*(0)+7)))</f>
        <v/>
      </c>
      <c r="M15" s="62">
        <f>IF(SUMIFS(tblPlan[Repeaters planned],tblPlan[Contract],$C$3,tblPlan[Final build week (Monday)],"&gt;="&amp;(M$11+7*(0)),tblPlan[Final build week (Monday)],"&lt;"&amp;(M$11+7*(0)+7))=0,"",SUMIFS(tblPlan[Repeaters planned],tblPlan[Contract],$C$3,tblPlan[Final build week (Monday)],"&gt;="&amp;(M$11+7*(0)),tblPlan[Final build week (Monday)],"&lt;"&amp;(M$11+7*(0)+7)))</f>
        <v/>
      </c>
      <c r="N15" s="62">
        <f>IF(SUMIFS(tblPlan[Repeaters planned],tblPlan[Contract],$C$3,tblPlan[Final build week (Monday)],"&gt;="&amp;(N$11+7*(0)),tblPlan[Final build week (Monday)],"&lt;"&amp;(N$11+7*(0)+7))=0,"",SUMIFS(tblPlan[Repeaters planned],tblPlan[Contract],$C$3,tblPlan[Final build week (Monday)],"&gt;="&amp;(N$11+7*(0)),tblPlan[Final build week (Monday)],"&lt;"&amp;(N$11+7*(0)+7)))</f>
        <v/>
      </c>
      <c r="O15" s="62">
        <f>IF(SUMIFS(tblPlan[Repeaters planned],tblPlan[Contract],$C$3,tblPlan[Final build week (Monday)],"&gt;="&amp;(O$11+7*(0)),tblPlan[Final build week (Monday)],"&lt;"&amp;(O$11+7*(0)+7))=0,"",SUMIFS(tblPlan[Repeaters planned],tblPlan[Contract],$C$3,tblPlan[Final build week (Monday)],"&gt;="&amp;(O$11+7*(0)),tblPlan[Final build week (Monday)],"&lt;"&amp;(O$11+7*(0)+7)))</f>
        <v/>
      </c>
      <c r="P15" s="62">
        <f>IF(SUMIFS(tblPlan[Repeaters planned],tblPlan[Contract],$C$3,tblPlan[Final build week (Monday)],"&gt;="&amp;(P$11+7*(0)),tblPlan[Final build week (Monday)],"&lt;"&amp;(P$11+7*(0)+7))=0,"",SUMIFS(tblPlan[Repeaters planned],tblPlan[Contract],$C$3,tblPlan[Final build week (Monday)],"&gt;="&amp;(P$11+7*(0)),tblPlan[Final build week (Monday)],"&lt;"&amp;(P$11+7*(0)+7)))</f>
        <v/>
      </c>
      <c r="Q15" s="62">
        <f>IF(SUMIFS(tblPlan[Repeaters planned],tblPlan[Contract],$C$3,tblPlan[Final build week (Monday)],"&gt;="&amp;(Q$11+7*(0)),tblPlan[Final build week (Monday)],"&lt;"&amp;(Q$11+7*(0)+7))=0,"",SUMIFS(tblPlan[Repeaters planned],tblPlan[Contract],$C$3,tblPlan[Final build week (Monday)],"&gt;="&amp;(Q$11+7*(0)),tblPlan[Final build week (Monday)],"&lt;"&amp;(Q$11+7*(0)+7)))</f>
        <v/>
      </c>
      <c r="R15" s="62">
        <f>IF(SUMIFS(tblPlan[Repeaters planned],tblPlan[Contract],$C$3,tblPlan[Final build week (Monday)],"&gt;="&amp;(R$11+7*(0)),tblPlan[Final build week (Monday)],"&lt;"&amp;(R$11+7*(0)+7))=0,"",SUMIFS(tblPlan[Repeaters planned],tblPlan[Contract],$C$3,tblPlan[Final build week (Monday)],"&gt;="&amp;(R$11+7*(0)),tblPlan[Final build week (Monday)],"&lt;"&amp;(R$11+7*(0)+7)))</f>
        <v/>
      </c>
      <c r="S15" s="62">
        <f>IF(SUMIFS(tblPlan[Repeaters planned],tblPlan[Contract],$C$3,tblPlan[Final build week (Monday)],"&gt;="&amp;(S$11+7*(0)),tblPlan[Final build week (Monday)],"&lt;"&amp;(S$11+7*(0)+7))=0,"",SUMIFS(tblPlan[Repeaters planned],tblPlan[Contract],$C$3,tblPlan[Final build week (Monday)],"&gt;="&amp;(S$11+7*(0)),tblPlan[Final build week (Monday)],"&lt;"&amp;(S$11+7*(0)+7)))</f>
        <v/>
      </c>
      <c r="T15" s="62">
        <f>IF(SUMIFS(tblPlan[Repeaters planned],tblPlan[Contract],$C$3,tblPlan[Final build week (Monday)],"&gt;="&amp;(T$11+7*(0)),tblPlan[Final build week (Monday)],"&lt;"&amp;(T$11+7*(0)+7))=0,"",SUMIFS(tblPlan[Repeaters planned],tblPlan[Contract],$C$3,tblPlan[Final build week (Monday)],"&gt;="&amp;(T$11+7*(0)),tblPlan[Final build week (Monday)],"&lt;"&amp;(T$11+7*(0)+7)))</f>
        <v/>
      </c>
      <c r="U15" s="62">
        <f>IF(SUMIFS(tblPlan[Repeaters planned],tblPlan[Contract],$C$3,tblPlan[Final build week (Monday)],"&gt;="&amp;(U$11+7*(0)),tblPlan[Final build week (Monday)],"&lt;"&amp;(U$11+7*(0)+7))=0,"",SUMIFS(tblPlan[Repeaters planned],tblPlan[Contract],$C$3,tblPlan[Final build week (Monday)],"&gt;="&amp;(U$11+7*(0)),tblPlan[Final build week (Monday)],"&lt;"&amp;(U$11+7*(0)+7)))</f>
        <v/>
      </c>
      <c r="V15" s="62">
        <f>IF(SUMIFS(tblPlan[Repeaters planned],tblPlan[Contract],$C$3,tblPlan[Final build week (Monday)],"&gt;="&amp;(V$11+7*(0)),tblPlan[Final build week (Monday)],"&lt;"&amp;(V$11+7*(0)+7))=0,"",SUMIFS(tblPlan[Repeaters planned],tblPlan[Contract],$C$3,tblPlan[Final build week (Monday)],"&gt;="&amp;(V$11+7*(0)),tblPlan[Final build week (Monday)],"&lt;"&amp;(V$11+7*(0)+7)))</f>
        <v/>
      </c>
      <c r="W15" s="62">
        <f>IF(SUMIFS(tblPlan[Repeaters planned],tblPlan[Contract],$C$3,tblPlan[Final build week (Monday)],"&gt;="&amp;(W$11+7*(0)),tblPlan[Final build week (Monday)],"&lt;"&amp;(W$11+7*(0)+7))=0,"",SUMIFS(tblPlan[Repeaters planned],tblPlan[Contract],$C$3,tblPlan[Final build week (Monday)],"&gt;="&amp;(W$11+7*(0)),tblPlan[Final build week (Monday)],"&lt;"&amp;(W$11+7*(0)+7)))</f>
        <v/>
      </c>
      <c r="X15" s="62">
        <f>IF(SUMIFS(tblPlan[Repeaters planned],tblPlan[Contract],$C$3,tblPlan[Final build week (Monday)],"&gt;="&amp;(X$11+7*(0)),tblPlan[Final build week (Monday)],"&lt;"&amp;(X$11+7*(0)+7))=0,"",SUMIFS(tblPlan[Repeaters planned],tblPlan[Contract],$C$3,tblPlan[Final build week (Monday)],"&gt;="&amp;(X$11+7*(0)),tblPlan[Final build week (Monday)],"&lt;"&amp;(X$11+7*(0)+7)))</f>
        <v/>
      </c>
      <c r="Y15" s="62">
        <f>IF(SUMIFS(tblPlan[Repeaters planned],tblPlan[Contract],$C$3,tblPlan[Final build week (Monday)],"&gt;="&amp;(Y$11+7*(0)),tblPlan[Final build week (Monday)],"&lt;"&amp;(Y$11+7*(0)+7))=0,"",SUMIFS(tblPlan[Repeaters planned],tblPlan[Contract],$C$3,tblPlan[Final build week (Monday)],"&gt;="&amp;(Y$11+7*(0)),tblPlan[Final build week (Monday)],"&lt;"&amp;(Y$11+7*(0)+7)))</f>
        <v/>
      </c>
      <c r="Z15" s="62">
        <f>IF(SUMIFS(tblPlan[Repeaters planned],tblPlan[Contract],$C$3,tblPlan[Final build week (Monday)],"&gt;="&amp;(Z$11+7*(0)),tblPlan[Final build week (Monday)],"&lt;"&amp;(Z$11+7*(0)+7))=0,"",SUMIFS(tblPlan[Repeaters planned],tblPlan[Contract],$C$3,tblPlan[Final build week (Monday)],"&gt;="&amp;(Z$11+7*(0)),tblPlan[Final build week (Monday)],"&lt;"&amp;(Z$11+7*(0)+7)))</f>
        <v/>
      </c>
      <c r="AA15" s="62">
        <f>IF(SUMIFS(tblPlan[Repeaters planned],tblPlan[Contract],$C$3,tblPlan[Final build week (Monday)],"&gt;="&amp;(AA$11+7*(0)),tblPlan[Final build week (Monday)],"&lt;"&amp;(AA$11+7*(0)+7))=0,"",SUMIFS(tblPlan[Repeaters planned],tblPlan[Contract],$C$3,tblPlan[Final build week (Monday)],"&gt;="&amp;(AA$11+7*(0)),tblPlan[Final build week (Monday)],"&lt;"&amp;(AA$11+7*(0)+7)))</f>
        <v/>
      </c>
      <c r="AB15" s="62">
        <f>IF(SUMIFS(tblPlan[Repeaters planned],tblPlan[Contract],$C$3,tblPlan[Final build week (Monday)],"&gt;="&amp;(AB$11+7*(0)),tblPlan[Final build week (Monday)],"&lt;"&amp;(AB$11+7*(0)+7))=0,"",SUMIFS(tblPlan[Repeaters planned],tblPlan[Contract],$C$3,tblPlan[Final build week (Monday)],"&gt;="&amp;(AB$11+7*(0)),tblPlan[Final build week (Monday)],"&lt;"&amp;(AB$11+7*(0)+7)))</f>
        <v/>
      </c>
      <c r="AC15" s="62">
        <f>IF(SUMIFS(tblPlan[Repeaters planned],tblPlan[Contract],$C$3,tblPlan[Final build week (Monday)],"&gt;="&amp;(AC$11+7*(0)),tblPlan[Final build week (Monday)],"&lt;"&amp;(AC$11+7*(0)+7))=0,"",SUMIFS(tblPlan[Repeaters planned],tblPlan[Contract],$C$3,tblPlan[Final build week (Monday)],"&gt;="&amp;(AC$11+7*(0)),tblPlan[Final build week (Monday)],"&lt;"&amp;(AC$11+7*(0)+7)))</f>
        <v/>
      </c>
      <c r="AD15" s="62">
        <f>IF(SUMIFS(tblPlan[Repeaters planned],tblPlan[Contract],$C$3,tblPlan[Final build week (Monday)],"&gt;="&amp;(AD$11+7*(0)),tblPlan[Final build week (Monday)],"&lt;"&amp;(AD$11+7*(0)+7))=0,"",SUMIFS(tblPlan[Repeaters planned],tblPlan[Contract],$C$3,tblPlan[Final build week (Monday)],"&gt;="&amp;(AD$11+7*(0)),tblPlan[Final build week (Monday)],"&lt;"&amp;(AD$11+7*(0)+7)))</f>
        <v/>
      </c>
      <c r="AE15" s="62">
        <f>IF(SUMIFS(tblPlan[Repeaters planned],tblPlan[Contract],$C$3,tblPlan[Final build week (Monday)],"&gt;="&amp;(AE$11+7*(0)),tblPlan[Final build week (Monday)],"&lt;"&amp;(AE$11+7*(0)+7))=0,"",SUMIFS(tblPlan[Repeaters planned],tblPlan[Contract],$C$3,tblPlan[Final build week (Monday)],"&gt;="&amp;(AE$11+7*(0)),tblPlan[Final build week (Monday)],"&lt;"&amp;(AE$11+7*(0)+7)))</f>
        <v/>
      </c>
      <c r="AF15" s="62">
        <f>IF(SUMIFS(tblPlan[Repeaters planned],tblPlan[Contract],$C$3,tblPlan[Final build week (Monday)],"&gt;="&amp;(AF$11+7*(0)),tblPlan[Final build week (Monday)],"&lt;"&amp;(AF$11+7*(0)+7))=0,"",SUMIFS(tblPlan[Repeaters planned],tblPlan[Contract],$C$3,tblPlan[Final build week (Monday)],"&gt;="&amp;(AF$11+7*(0)),tblPlan[Final build week (Monday)],"&lt;"&amp;(AF$11+7*(0)+7)))</f>
        <v/>
      </c>
      <c r="AG15" s="62">
        <f>IF(SUMIFS(tblPlan[Repeaters planned],tblPlan[Contract],$C$3,tblPlan[Final build week (Monday)],"&gt;="&amp;(AG$11+7*(0)),tblPlan[Final build week (Monday)],"&lt;"&amp;(AG$11+7*(0)+7))=0,"",SUMIFS(tblPlan[Repeaters planned],tblPlan[Contract],$C$3,tblPlan[Final build week (Monday)],"&gt;="&amp;(AG$11+7*(0)),tblPlan[Final build week (Monday)],"&lt;"&amp;(AG$11+7*(0)+7)))</f>
        <v/>
      </c>
      <c r="AH15" s="62">
        <f>IF(SUMIFS(tblPlan[Repeaters planned],tblPlan[Contract],$C$3,tblPlan[Final build week (Monday)],"&gt;="&amp;(AH$11+7*(0)),tblPlan[Final build week (Monday)],"&lt;"&amp;(AH$11+7*(0)+7))=0,"",SUMIFS(tblPlan[Repeaters planned],tblPlan[Contract],$C$3,tblPlan[Final build week (Monday)],"&gt;="&amp;(AH$11+7*(0)),tblPlan[Final build week (Monday)],"&lt;"&amp;(AH$11+7*(0)+7)))</f>
        <v/>
      </c>
      <c r="AI15" s="62">
        <f>IF(SUMIFS(tblPlan[Repeaters planned],tblPlan[Contract],$C$3,tblPlan[Final build week (Monday)],"&gt;="&amp;(AI$11+7*(0)),tblPlan[Final build week (Monday)],"&lt;"&amp;(AI$11+7*(0)+7))=0,"",SUMIFS(tblPlan[Repeaters planned],tblPlan[Contract],$C$3,tblPlan[Final build week (Monday)],"&gt;="&amp;(AI$11+7*(0)),tblPlan[Final build week (Monday)],"&lt;"&amp;(AI$11+7*(0)+7)))</f>
        <v/>
      </c>
      <c r="AJ15" s="62">
        <f>IF(SUMIFS(tblPlan[Repeaters planned],tblPlan[Contract],$C$3,tblPlan[Final build week (Monday)],"&gt;="&amp;(AJ$11+7*(0)),tblPlan[Final build week (Monday)],"&lt;"&amp;(AJ$11+7*(0)+7))=0,"",SUMIFS(tblPlan[Repeaters planned],tblPlan[Contract],$C$3,tblPlan[Final build week (Monday)],"&gt;="&amp;(AJ$11+7*(0)),tblPlan[Final build week (Monday)],"&lt;"&amp;(AJ$11+7*(0)+7)))</f>
        <v/>
      </c>
      <c r="AK15" s="62">
        <f>IF(SUMIFS(tblPlan[Repeaters planned],tblPlan[Contract],$C$3,tblPlan[Final build week (Monday)],"&gt;="&amp;(AK$11+7*(0)),tblPlan[Final build week (Monday)],"&lt;"&amp;(AK$11+7*(0)+7))=0,"",SUMIFS(tblPlan[Repeaters planned],tblPlan[Contract],$C$3,tblPlan[Final build week (Monday)],"&gt;="&amp;(AK$11+7*(0)),tblPlan[Final build week (Monday)],"&lt;"&amp;(AK$11+7*(0)+7)))</f>
        <v/>
      </c>
      <c r="AL15" s="62">
        <f>IF(SUMIFS(tblPlan[Repeaters planned],tblPlan[Contract],$C$3,tblPlan[Final build week (Monday)],"&gt;="&amp;(AL$11+7*(0)),tblPlan[Final build week (Monday)],"&lt;"&amp;(AL$11+7*(0)+7))=0,"",SUMIFS(tblPlan[Repeaters planned],tblPlan[Contract],$C$3,tblPlan[Final build week (Monday)],"&gt;="&amp;(AL$11+7*(0)),tblPlan[Final build week (Monday)],"&lt;"&amp;(AL$11+7*(0)+7)))</f>
        <v/>
      </c>
      <c r="AM15" s="62">
        <f>IF(SUMIFS(tblPlan[Repeaters planned],tblPlan[Contract],$C$3,tblPlan[Final build week (Monday)],"&gt;="&amp;(AM$11+7*(0)),tblPlan[Final build week (Monday)],"&lt;"&amp;(AM$11+7*(0)+7))=0,"",SUMIFS(tblPlan[Repeaters planned],tblPlan[Contract],$C$3,tblPlan[Final build week (Monday)],"&gt;="&amp;(AM$11+7*(0)),tblPlan[Final build week (Monday)],"&lt;"&amp;(AM$11+7*(0)+7)))</f>
        <v/>
      </c>
      <c r="AN15" s="62">
        <f>IF(SUMIFS(tblPlan[Repeaters planned],tblPlan[Contract],$C$3,tblPlan[Final build week (Monday)],"&gt;="&amp;(AN$11+7*(0)),tblPlan[Final build week (Monday)],"&lt;"&amp;(AN$11+7*(0)+7))=0,"",SUMIFS(tblPlan[Repeaters planned],tblPlan[Contract],$C$3,tblPlan[Final build week (Monday)],"&gt;="&amp;(AN$11+7*(0)),tblPlan[Final build week (Monday)],"&lt;"&amp;(AN$11+7*(0)+7)))</f>
        <v/>
      </c>
      <c r="AO15" s="62">
        <f>IF(SUMIFS(tblPlan[Repeaters planned],tblPlan[Contract],$C$3,tblPlan[Final build week (Monday)],"&gt;="&amp;(AO$11+7*(0)),tblPlan[Final build week (Monday)],"&lt;"&amp;(AO$11+7*(0)+7))=0,"",SUMIFS(tblPlan[Repeaters planned],tblPlan[Contract],$C$3,tblPlan[Final build week (Monday)],"&gt;="&amp;(AO$11+7*(0)),tblPlan[Final build week (Monday)],"&lt;"&amp;(AO$11+7*(0)+7)))</f>
        <v/>
      </c>
      <c r="AP15" s="62">
        <f>IF(SUMIFS(tblPlan[Repeaters planned],tblPlan[Contract],$C$3,tblPlan[Final build week (Monday)],"&gt;="&amp;(AP$11+7*(0)),tblPlan[Final build week (Monday)],"&lt;"&amp;(AP$11+7*(0)+7))=0,"",SUMIFS(tblPlan[Repeaters planned],tblPlan[Contract],$C$3,tblPlan[Final build week (Monday)],"&gt;="&amp;(AP$11+7*(0)),tblPlan[Final build week (Monday)],"&lt;"&amp;(AP$11+7*(0)+7)))</f>
        <v/>
      </c>
      <c r="AQ15" s="62">
        <f>IF(SUMIFS(tblPlan[Repeaters planned],tblPlan[Contract],$C$3,tblPlan[Final build week (Monday)],"&gt;="&amp;(AQ$11+7*(0)),tblPlan[Final build week (Monday)],"&lt;"&amp;(AQ$11+7*(0)+7))=0,"",SUMIFS(tblPlan[Repeaters planned],tblPlan[Contract],$C$3,tblPlan[Final build week (Monday)],"&gt;="&amp;(AQ$11+7*(0)),tblPlan[Final build week (Monday)],"&lt;"&amp;(AQ$11+7*(0)+7)))</f>
        <v/>
      </c>
      <c r="AR15" s="62">
        <f>IF(SUMIFS(tblPlan[Repeaters planned],tblPlan[Contract],$C$3,tblPlan[Final build week (Monday)],"&gt;="&amp;(AR$11+7*(0)),tblPlan[Final build week (Monday)],"&lt;"&amp;(AR$11+7*(0)+7))=0,"",SUMIFS(tblPlan[Repeaters planned],tblPlan[Contract],$C$3,tblPlan[Final build week (Monday)],"&gt;="&amp;(AR$11+7*(0)),tblPlan[Final build week (Monday)],"&lt;"&amp;(AR$11+7*(0)+7)))</f>
        <v/>
      </c>
      <c r="AS15" s="62">
        <f>IF(SUMIFS(tblPlan[Repeaters planned],tblPlan[Contract],$C$3,tblPlan[Final build week (Monday)],"&gt;="&amp;(AS$11+7*(0)),tblPlan[Final build week (Monday)],"&lt;"&amp;(AS$11+7*(0)+7))=0,"",SUMIFS(tblPlan[Repeaters planned],tblPlan[Contract],$C$3,tblPlan[Final build week (Monday)],"&gt;="&amp;(AS$11+7*(0)),tblPlan[Final build week (Monday)],"&lt;"&amp;(AS$11+7*(0)+7)))</f>
        <v/>
      </c>
      <c r="AT15" s="62">
        <f>IF(SUMIFS(tblPlan[Repeaters planned],tblPlan[Contract],$C$3,tblPlan[Final build week (Monday)],"&gt;="&amp;(AT$11+7*(0)),tblPlan[Final build week (Monday)],"&lt;"&amp;(AT$11+7*(0)+7))=0,"",SUMIFS(tblPlan[Repeaters planned],tblPlan[Contract],$C$3,tblPlan[Final build week (Monday)],"&gt;="&amp;(AT$11+7*(0)),tblPlan[Final build week (Monday)],"&lt;"&amp;(AT$11+7*(0)+7)))</f>
        <v/>
      </c>
      <c r="AU15" s="62">
        <f>IF(SUMIFS(tblPlan[Repeaters planned],tblPlan[Contract],$C$3,tblPlan[Final build week (Monday)],"&gt;="&amp;(AU$11+7*(0)),tblPlan[Final build week (Monday)],"&lt;"&amp;(AU$11+7*(0)+7))=0,"",SUMIFS(tblPlan[Repeaters planned],tblPlan[Contract],$C$3,tblPlan[Final build week (Monday)],"&gt;="&amp;(AU$11+7*(0)),tblPlan[Final build week (Monday)],"&lt;"&amp;(AU$11+7*(0)+7)))</f>
        <v/>
      </c>
      <c r="AV15" s="62">
        <f>IF(SUMIFS(tblPlan[Repeaters planned],tblPlan[Contract],$C$3,tblPlan[Final build week (Monday)],"&gt;="&amp;(AV$11+7*(0)),tblPlan[Final build week (Monday)],"&lt;"&amp;(AV$11+7*(0)+7))=0,"",SUMIFS(tblPlan[Repeaters planned],tblPlan[Contract],$C$3,tblPlan[Final build week (Monday)],"&gt;="&amp;(AV$11+7*(0)),tblPlan[Final build week (Monday)],"&lt;"&amp;(AV$11+7*(0)+7)))</f>
        <v/>
      </c>
      <c r="AW15" s="62">
        <f>IF(SUMIFS(tblPlan[Repeaters planned],tblPlan[Contract],$C$3,tblPlan[Final build week (Monday)],"&gt;="&amp;(AW$11+7*(0)),tblPlan[Final build week (Monday)],"&lt;"&amp;(AW$11+7*(0)+7))=0,"",SUMIFS(tblPlan[Repeaters planned],tblPlan[Contract],$C$3,tblPlan[Final build week (Monday)],"&gt;="&amp;(AW$11+7*(0)),tblPlan[Final build week (Monday)],"&lt;"&amp;(AW$11+7*(0)+7)))</f>
        <v/>
      </c>
      <c r="AX15" s="62">
        <f>IF(SUMIFS(tblPlan[Repeaters planned],tblPlan[Contract],$C$3,tblPlan[Final build week (Monday)],"&gt;="&amp;(AX$11+7*(0)),tblPlan[Final build week (Monday)],"&lt;"&amp;(AX$11+7*(0)+7))=0,"",SUMIFS(tblPlan[Repeaters planned],tblPlan[Contract],$C$3,tblPlan[Final build week (Monday)],"&gt;="&amp;(AX$11+7*(0)),tblPlan[Final build week (Monday)],"&lt;"&amp;(AX$11+7*(0)+7)))</f>
        <v/>
      </c>
      <c r="AY15" s="62">
        <f>IF(SUMIFS(tblPlan[Repeaters planned],tblPlan[Contract],$C$3,tblPlan[Final build week (Monday)],"&gt;="&amp;(AY$11+7*(0)),tblPlan[Final build week (Monday)],"&lt;"&amp;(AY$11+7*(0)+7))=0,"",SUMIFS(tblPlan[Repeaters planned],tblPlan[Contract],$C$3,tblPlan[Final build week (Monday)],"&gt;="&amp;(AY$11+7*(0)),tblPlan[Final build week (Monday)],"&lt;"&amp;(AY$11+7*(0)+7)))</f>
        <v/>
      </c>
      <c r="AZ15" s="62">
        <f>IF(SUMIFS(tblPlan[Repeaters planned],tblPlan[Contract],$C$3,tblPlan[Final build week (Monday)],"&gt;="&amp;(AZ$11+7*(0)),tblPlan[Final build week (Monday)],"&lt;"&amp;(AZ$11+7*(0)+7))=0,"",SUMIFS(tblPlan[Repeaters planned],tblPlan[Contract],$C$3,tblPlan[Final build week (Monday)],"&gt;="&amp;(AZ$11+7*(0)),tblPlan[Final build week (Monday)],"&lt;"&amp;(AZ$11+7*(0)+7)))</f>
        <v/>
      </c>
      <c r="BA15" s="62">
        <f>IF(SUMIFS(tblPlan[Repeaters planned],tblPlan[Contract],$C$3,tblPlan[Final build week (Monday)],"&gt;="&amp;(BA$11+7*(0)),tblPlan[Final build week (Monday)],"&lt;"&amp;(BA$11+7*(0)+7))=0,"",SUMIFS(tblPlan[Repeaters planned],tblPlan[Contract],$C$3,tblPlan[Final build week (Monday)],"&gt;="&amp;(BA$11+7*(0)),tblPlan[Final build week (Monday)],"&lt;"&amp;(BA$11+7*(0)+7)))</f>
        <v/>
      </c>
      <c r="BB15" s="62">
        <f>IF(SUMIFS(tblPlan[Repeaters planned],tblPlan[Contract],$C$3,tblPlan[Final build week (Monday)],"&gt;="&amp;(BB$11+7*(0)),tblPlan[Final build week (Monday)],"&lt;"&amp;(BB$11+7*(0)+7))=0,"",SUMIFS(tblPlan[Repeaters planned],tblPlan[Contract],$C$3,tblPlan[Final build week (Monday)],"&gt;="&amp;(BB$11+7*(0)),tblPlan[Final build week (Monday)],"&lt;"&amp;(BB$11+7*(0)+7)))</f>
        <v/>
      </c>
      <c r="BC15" s="62">
        <f>IF(SUMIFS(tblPlan[Repeaters planned],tblPlan[Contract],$C$3,tblPlan[Final build week (Monday)],"&gt;="&amp;(BC$11+7*(0)),tblPlan[Final build week (Monday)],"&lt;"&amp;(BC$11+7*(0)+7))=0,"",SUMIFS(tblPlan[Repeaters planned],tblPlan[Contract],$C$3,tblPlan[Final build week (Monday)],"&gt;="&amp;(BC$11+7*(0)),tblPlan[Final build week (Monday)],"&lt;"&amp;(BC$11+7*(0)+7)))</f>
        <v/>
      </c>
      <c r="BD15" s="62">
        <f>IF(SUMIFS(tblPlan[Repeaters planned],tblPlan[Contract],$C$3,tblPlan[Final build week (Monday)],"&gt;="&amp;(BD$11+7*(0)),tblPlan[Final build week (Monday)],"&lt;"&amp;(BD$11+7*(0)+7))=0,"",SUMIFS(tblPlan[Repeaters planned],tblPlan[Contract],$C$3,tblPlan[Final build week (Monday)],"&gt;="&amp;(BD$11+7*(0)),tblPlan[Final build week (Monday)],"&lt;"&amp;(BD$11+7*(0)+7)))</f>
        <v/>
      </c>
    </row>
    <row r="17">
      <c r="B17" s="64" t="inlineStr">
        <is>
          <t>Cumulative kits due</t>
        </is>
      </c>
      <c r="C17" s="8" t="inlineStr">
        <is>
          <t>end of each kit week</t>
        </is>
      </c>
      <c r="D17" s="48" t="inlineStr">
        <is>
          <t>kits ▸</t>
        </is>
      </c>
      <c r="E17" s="65">
        <f>SUMIFS(tblPlan[Repeaters planned],tblPlan[Contract],$C$3,tblPlan[Final build week (Monday)],"&lt;"&amp;(E$11+7*(IFERROR(INDEX(tblContracts[Kit-release lead (weeks before final build)],MATCH($C$3,tblContracts[Contract ID],0)),0)+1)))</f>
        <v/>
      </c>
      <c r="F17" s="65">
        <f>SUMIFS(tblPlan[Repeaters planned],tblPlan[Contract],$C$3,tblPlan[Final build week (Monday)],"&lt;"&amp;(F$11+7*(IFERROR(INDEX(tblContracts[Kit-release lead (weeks before final build)],MATCH($C$3,tblContracts[Contract ID],0)),0)+1)))</f>
        <v/>
      </c>
      <c r="G17" s="65">
        <f>SUMIFS(tblPlan[Repeaters planned],tblPlan[Contract],$C$3,tblPlan[Final build week (Monday)],"&lt;"&amp;(G$11+7*(IFERROR(INDEX(tblContracts[Kit-release lead (weeks before final build)],MATCH($C$3,tblContracts[Contract ID],0)),0)+1)))</f>
        <v/>
      </c>
      <c r="H17" s="65">
        <f>SUMIFS(tblPlan[Repeaters planned],tblPlan[Contract],$C$3,tblPlan[Final build week (Monday)],"&lt;"&amp;(H$11+7*(IFERROR(INDEX(tblContracts[Kit-release lead (weeks before final build)],MATCH($C$3,tblContracts[Contract ID],0)),0)+1)))</f>
        <v/>
      </c>
      <c r="I17" s="65">
        <f>SUMIFS(tblPlan[Repeaters planned],tblPlan[Contract],$C$3,tblPlan[Final build week (Monday)],"&lt;"&amp;(I$11+7*(IFERROR(INDEX(tblContracts[Kit-release lead (weeks before final build)],MATCH($C$3,tblContracts[Contract ID],0)),0)+1)))</f>
        <v/>
      </c>
      <c r="J17" s="65">
        <f>SUMIFS(tblPlan[Repeaters planned],tblPlan[Contract],$C$3,tblPlan[Final build week (Monday)],"&lt;"&amp;(J$11+7*(IFERROR(INDEX(tblContracts[Kit-release lead (weeks before final build)],MATCH($C$3,tblContracts[Contract ID],0)),0)+1)))</f>
        <v/>
      </c>
      <c r="K17" s="65">
        <f>SUMIFS(tblPlan[Repeaters planned],tblPlan[Contract],$C$3,tblPlan[Final build week (Monday)],"&lt;"&amp;(K$11+7*(IFERROR(INDEX(tblContracts[Kit-release lead (weeks before final build)],MATCH($C$3,tblContracts[Contract ID],0)),0)+1)))</f>
        <v/>
      </c>
      <c r="L17" s="65">
        <f>SUMIFS(tblPlan[Repeaters planned],tblPlan[Contract],$C$3,tblPlan[Final build week (Monday)],"&lt;"&amp;(L$11+7*(IFERROR(INDEX(tblContracts[Kit-release lead (weeks before final build)],MATCH($C$3,tblContracts[Contract ID],0)),0)+1)))</f>
        <v/>
      </c>
      <c r="M17" s="65">
        <f>SUMIFS(tblPlan[Repeaters planned],tblPlan[Contract],$C$3,tblPlan[Final build week (Monday)],"&lt;"&amp;(M$11+7*(IFERROR(INDEX(tblContracts[Kit-release lead (weeks before final build)],MATCH($C$3,tblContracts[Contract ID],0)),0)+1)))</f>
        <v/>
      </c>
      <c r="N17" s="65">
        <f>SUMIFS(tblPlan[Repeaters planned],tblPlan[Contract],$C$3,tblPlan[Final build week (Monday)],"&lt;"&amp;(N$11+7*(IFERROR(INDEX(tblContracts[Kit-release lead (weeks before final build)],MATCH($C$3,tblContracts[Contract ID],0)),0)+1)))</f>
        <v/>
      </c>
      <c r="O17" s="65">
        <f>SUMIFS(tblPlan[Repeaters planned],tblPlan[Contract],$C$3,tblPlan[Final build week (Monday)],"&lt;"&amp;(O$11+7*(IFERROR(INDEX(tblContracts[Kit-release lead (weeks before final build)],MATCH($C$3,tblContracts[Contract ID],0)),0)+1)))</f>
        <v/>
      </c>
      <c r="P17" s="65">
        <f>SUMIFS(tblPlan[Repeaters planned],tblPlan[Contract],$C$3,tblPlan[Final build week (Monday)],"&lt;"&amp;(P$11+7*(IFERROR(INDEX(tblContracts[Kit-release lead (weeks before final build)],MATCH($C$3,tblContracts[Contract ID],0)),0)+1)))</f>
        <v/>
      </c>
      <c r="Q17" s="65">
        <f>SUMIFS(tblPlan[Repeaters planned],tblPlan[Contract],$C$3,tblPlan[Final build week (Monday)],"&lt;"&amp;(Q$11+7*(IFERROR(INDEX(tblContracts[Kit-release lead (weeks before final build)],MATCH($C$3,tblContracts[Contract ID],0)),0)+1)))</f>
        <v/>
      </c>
      <c r="R17" s="65">
        <f>SUMIFS(tblPlan[Repeaters planned],tblPlan[Contract],$C$3,tblPlan[Final build week (Monday)],"&lt;"&amp;(R$11+7*(IFERROR(INDEX(tblContracts[Kit-release lead (weeks before final build)],MATCH($C$3,tblContracts[Contract ID],0)),0)+1)))</f>
        <v/>
      </c>
      <c r="S17" s="65">
        <f>SUMIFS(tblPlan[Repeaters planned],tblPlan[Contract],$C$3,tblPlan[Final build week (Monday)],"&lt;"&amp;(S$11+7*(IFERROR(INDEX(tblContracts[Kit-release lead (weeks before final build)],MATCH($C$3,tblContracts[Contract ID],0)),0)+1)))</f>
        <v/>
      </c>
      <c r="T17" s="65">
        <f>SUMIFS(tblPlan[Repeaters planned],tblPlan[Contract],$C$3,tblPlan[Final build week (Monday)],"&lt;"&amp;(T$11+7*(IFERROR(INDEX(tblContracts[Kit-release lead (weeks before final build)],MATCH($C$3,tblContracts[Contract ID],0)),0)+1)))</f>
        <v/>
      </c>
      <c r="U17" s="65">
        <f>SUMIFS(tblPlan[Repeaters planned],tblPlan[Contract],$C$3,tblPlan[Final build week (Monday)],"&lt;"&amp;(U$11+7*(IFERROR(INDEX(tblContracts[Kit-release lead (weeks before final build)],MATCH($C$3,tblContracts[Contract ID],0)),0)+1)))</f>
        <v/>
      </c>
      <c r="V17" s="65">
        <f>SUMIFS(tblPlan[Repeaters planned],tblPlan[Contract],$C$3,tblPlan[Final build week (Monday)],"&lt;"&amp;(V$11+7*(IFERROR(INDEX(tblContracts[Kit-release lead (weeks before final build)],MATCH($C$3,tblContracts[Contract ID],0)),0)+1)))</f>
        <v/>
      </c>
      <c r="W17" s="65">
        <f>SUMIFS(tblPlan[Repeaters planned],tblPlan[Contract],$C$3,tblPlan[Final build week (Monday)],"&lt;"&amp;(W$11+7*(IFERROR(INDEX(tblContracts[Kit-release lead (weeks before final build)],MATCH($C$3,tblContracts[Contract ID],0)),0)+1)))</f>
        <v/>
      </c>
      <c r="X17" s="65">
        <f>SUMIFS(tblPlan[Repeaters planned],tblPlan[Contract],$C$3,tblPlan[Final build week (Monday)],"&lt;"&amp;(X$11+7*(IFERROR(INDEX(tblContracts[Kit-release lead (weeks before final build)],MATCH($C$3,tblContracts[Contract ID],0)),0)+1)))</f>
        <v/>
      </c>
      <c r="Y17" s="65">
        <f>SUMIFS(tblPlan[Repeaters planned],tblPlan[Contract],$C$3,tblPlan[Final build week (Monday)],"&lt;"&amp;(Y$11+7*(IFERROR(INDEX(tblContracts[Kit-release lead (weeks before final build)],MATCH($C$3,tblContracts[Contract ID],0)),0)+1)))</f>
        <v/>
      </c>
      <c r="Z17" s="65">
        <f>SUMIFS(tblPlan[Repeaters planned],tblPlan[Contract],$C$3,tblPlan[Final build week (Monday)],"&lt;"&amp;(Z$11+7*(IFERROR(INDEX(tblContracts[Kit-release lead (weeks before final build)],MATCH($C$3,tblContracts[Contract ID],0)),0)+1)))</f>
        <v/>
      </c>
      <c r="AA17" s="65">
        <f>SUMIFS(tblPlan[Repeaters planned],tblPlan[Contract],$C$3,tblPlan[Final build week (Monday)],"&lt;"&amp;(AA$11+7*(IFERROR(INDEX(tblContracts[Kit-release lead (weeks before final build)],MATCH($C$3,tblContracts[Contract ID],0)),0)+1)))</f>
        <v/>
      </c>
      <c r="AB17" s="65">
        <f>SUMIFS(tblPlan[Repeaters planned],tblPlan[Contract],$C$3,tblPlan[Final build week (Monday)],"&lt;"&amp;(AB$11+7*(IFERROR(INDEX(tblContracts[Kit-release lead (weeks before final build)],MATCH($C$3,tblContracts[Contract ID],0)),0)+1)))</f>
        <v/>
      </c>
      <c r="AC17" s="65">
        <f>SUMIFS(tblPlan[Repeaters planned],tblPlan[Contract],$C$3,tblPlan[Final build week (Monday)],"&lt;"&amp;(AC$11+7*(IFERROR(INDEX(tblContracts[Kit-release lead (weeks before final build)],MATCH($C$3,tblContracts[Contract ID],0)),0)+1)))</f>
        <v/>
      </c>
      <c r="AD17" s="65">
        <f>SUMIFS(tblPlan[Repeaters planned],tblPlan[Contract],$C$3,tblPlan[Final build week (Monday)],"&lt;"&amp;(AD$11+7*(IFERROR(INDEX(tblContracts[Kit-release lead (weeks before final build)],MATCH($C$3,tblContracts[Contract ID],0)),0)+1)))</f>
        <v/>
      </c>
      <c r="AE17" s="65">
        <f>SUMIFS(tblPlan[Repeaters planned],tblPlan[Contract],$C$3,tblPlan[Final build week (Monday)],"&lt;"&amp;(AE$11+7*(IFERROR(INDEX(tblContracts[Kit-release lead (weeks before final build)],MATCH($C$3,tblContracts[Contract ID],0)),0)+1)))</f>
        <v/>
      </c>
      <c r="AF17" s="65">
        <f>SUMIFS(tblPlan[Repeaters planned],tblPlan[Contract],$C$3,tblPlan[Final build week (Monday)],"&lt;"&amp;(AF$11+7*(IFERROR(INDEX(tblContracts[Kit-release lead (weeks before final build)],MATCH($C$3,tblContracts[Contract ID],0)),0)+1)))</f>
        <v/>
      </c>
      <c r="AG17" s="65">
        <f>SUMIFS(tblPlan[Repeaters planned],tblPlan[Contract],$C$3,tblPlan[Final build week (Monday)],"&lt;"&amp;(AG$11+7*(IFERROR(INDEX(tblContracts[Kit-release lead (weeks before final build)],MATCH($C$3,tblContracts[Contract ID],0)),0)+1)))</f>
        <v/>
      </c>
      <c r="AH17" s="65">
        <f>SUMIFS(tblPlan[Repeaters planned],tblPlan[Contract],$C$3,tblPlan[Final build week (Monday)],"&lt;"&amp;(AH$11+7*(IFERROR(INDEX(tblContracts[Kit-release lead (weeks before final build)],MATCH($C$3,tblContracts[Contract ID],0)),0)+1)))</f>
        <v/>
      </c>
      <c r="AI17" s="65">
        <f>SUMIFS(tblPlan[Repeaters planned],tblPlan[Contract],$C$3,tblPlan[Final build week (Monday)],"&lt;"&amp;(AI$11+7*(IFERROR(INDEX(tblContracts[Kit-release lead (weeks before final build)],MATCH($C$3,tblContracts[Contract ID],0)),0)+1)))</f>
        <v/>
      </c>
      <c r="AJ17" s="65">
        <f>SUMIFS(tblPlan[Repeaters planned],tblPlan[Contract],$C$3,tblPlan[Final build week (Monday)],"&lt;"&amp;(AJ$11+7*(IFERROR(INDEX(tblContracts[Kit-release lead (weeks before final build)],MATCH($C$3,tblContracts[Contract ID],0)),0)+1)))</f>
        <v/>
      </c>
      <c r="AK17" s="65">
        <f>SUMIFS(tblPlan[Repeaters planned],tblPlan[Contract],$C$3,tblPlan[Final build week (Monday)],"&lt;"&amp;(AK$11+7*(IFERROR(INDEX(tblContracts[Kit-release lead (weeks before final build)],MATCH($C$3,tblContracts[Contract ID],0)),0)+1)))</f>
        <v/>
      </c>
      <c r="AL17" s="65">
        <f>SUMIFS(tblPlan[Repeaters planned],tblPlan[Contract],$C$3,tblPlan[Final build week (Monday)],"&lt;"&amp;(AL$11+7*(IFERROR(INDEX(tblContracts[Kit-release lead (weeks before final build)],MATCH($C$3,tblContracts[Contract ID],0)),0)+1)))</f>
        <v/>
      </c>
      <c r="AM17" s="65">
        <f>SUMIFS(tblPlan[Repeaters planned],tblPlan[Contract],$C$3,tblPlan[Final build week (Monday)],"&lt;"&amp;(AM$11+7*(IFERROR(INDEX(tblContracts[Kit-release lead (weeks before final build)],MATCH($C$3,tblContracts[Contract ID],0)),0)+1)))</f>
        <v/>
      </c>
      <c r="AN17" s="65">
        <f>SUMIFS(tblPlan[Repeaters planned],tblPlan[Contract],$C$3,tblPlan[Final build week (Monday)],"&lt;"&amp;(AN$11+7*(IFERROR(INDEX(tblContracts[Kit-release lead (weeks before final build)],MATCH($C$3,tblContracts[Contract ID],0)),0)+1)))</f>
        <v/>
      </c>
      <c r="AO17" s="65">
        <f>SUMIFS(tblPlan[Repeaters planned],tblPlan[Contract],$C$3,tblPlan[Final build week (Monday)],"&lt;"&amp;(AO$11+7*(IFERROR(INDEX(tblContracts[Kit-release lead (weeks before final build)],MATCH($C$3,tblContracts[Contract ID],0)),0)+1)))</f>
        <v/>
      </c>
      <c r="AP17" s="65">
        <f>SUMIFS(tblPlan[Repeaters planned],tblPlan[Contract],$C$3,tblPlan[Final build week (Monday)],"&lt;"&amp;(AP$11+7*(IFERROR(INDEX(tblContracts[Kit-release lead (weeks before final build)],MATCH($C$3,tblContracts[Contract ID],0)),0)+1)))</f>
        <v/>
      </c>
      <c r="AQ17" s="65">
        <f>SUMIFS(tblPlan[Repeaters planned],tblPlan[Contract],$C$3,tblPlan[Final build week (Monday)],"&lt;"&amp;(AQ$11+7*(IFERROR(INDEX(tblContracts[Kit-release lead (weeks before final build)],MATCH($C$3,tblContracts[Contract ID],0)),0)+1)))</f>
        <v/>
      </c>
      <c r="AR17" s="65">
        <f>SUMIFS(tblPlan[Repeaters planned],tblPlan[Contract],$C$3,tblPlan[Final build week (Monday)],"&lt;"&amp;(AR$11+7*(IFERROR(INDEX(tblContracts[Kit-release lead (weeks before final build)],MATCH($C$3,tblContracts[Contract ID],0)),0)+1)))</f>
        <v/>
      </c>
      <c r="AS17" s="65">
        <f>SUMIFS(tblPlan[Repeaters planned],tblPlan[Contract],$C$3,tblPlan[Final build week (Monday)],"&lt;"&amp;(AS$11+7*(IFERROR(INDEX(tblContracts[Kit-release lead (weeks before final build)],MATCH($C$3,tblContracts[Contract ID],0)),0)+1)))</f>
        <v/>
      </c>
      <c r="AT17" s="65">
        <f>SUMIFS(tblPlan[Repeaters planned],tblPlan[Contract],$C$3,tblPlan[Final build week (Monday)],"&lt;"&amp;(AT$11+7*(IFERROR(INDEX(tblContracts[Kit-release lead (weeks before final build)],MATCH($C$3,tblContracts[Contract ID],0)),0)+1)))</f>
        <v/>
      </c>
      <c r="AU17" s="65">
        <f>SUMIFS(tblPlan[Repeaters planned],tblPlan[Contract],$C$3,tblPlan[Final build week (Monday)],"&lt;"&amp;(AU$11+7*(IFERROR(INDEX(tblContracts[Kit-release lead (weeks before final build)],MATCH($C$3,tblContracts[Contract ID],0)),0)+1)))</f>
        <v/>
      </c>
      <c r="AV17" s="65">
        <f>SUMIFS(tblPlan[Repeaters planned],tblPlan[Contract],$C$3,tblPlan[Final build week (Monday)],"&lt;"&amp;(AV$11+7*(IFERROR(INDEX(tblContracts[Kit-release lead (weeks before final build)],MATCH($C$3,tblContracts[Contract ID],0)),0)+1)))</f>
        <v/>
      </c>
      <c r="AW17" s="65">
        <f>SUMIFS(tblPlan[Repeaters planned],tblPlan[Contract],$C$3,tblPlan[Final build week (Monday)],"&lt;"&amp;(AW$11+7*(IFERROR(INDEX(tblContracts[Kit-release lead (weeks before final build)],MATCH($C$3,tblContracts[Contract ID],0)),0)+1)))</f>
        <v/>
      </c>
      <c r="AX17" s="65">
        <f>SUMIFS(tblPlan[Repeaters planned],tblPlan[Contract],$C$3,tblPlan[Final build week (Monday)],"&lt;"&amp;(AX$11+7*(IFERROR(INDEX(tblContracts[Kit-release lead (weeks before final build)],MATCH($C$3,tblContracts[Contract ID],0)),0)+1)))</f>
        <v/>
      </c>
      <c r="AY17" s="65">
        <f>SUMIFS(tblPlan[Repeaters planned],tblPlan[Contract],$C$3,tblPlan[Final build week (Monday)],"&lt;"&amp;(AY$11+7*(IFERROR(INDEX(tblContracts[Kit-release lead (weeks before final build)],MATCH($C$3,tblContracts[Contract ID],0)),0)+1)))</f>
        <v/>
      </c>
      <c r="AZ17" s="65">
        <f>SUMIFS(tblPlan[Repeaters planned],tblPlan[Contract],$C$3,tblPlan[Final build week (Monday)],"&lt;"&amp;(AZ$11+7*(IFERROR(INDEX(tblContracts[Kit-release lead (weeks before final build)],MATCH($C$3,tblContracts[Contract ID],0)),0)+1)))</f>
        <v/>
      </c>
      <c r="BA17" s="65">
        <f>SUMIFS(tblPlan[Repeaters planned],tblPlan[Contract],$C$3,tblPlan[Final build week (Monday)],"&lt;"&amp;(BA$11+7*(IFERROR(INDEX(tblContracts[Kit-release lead (weeks before final build)],MATCH($C$3,tblContracts[Contract ID],0)),0)+1)))</f>
        <v/>
      </c>
      <c r="BB17" s="65">
        <f>SUMIFS(tblPlan[Repeaters planned],tblPlan[Contract],$C$3,tblPlan[Final build week (Monday)],"&lt;"&amp;(BB$11+7*(IFERROR(INDEX(tblContracts[Kit-release lead (weeks before final build)],MATCH($C$3,tblContracts[Contract ID],0)),0)+1)))</f>
        <v/>
      </c>
      <c r="BC17" s="65">
        <f>SUMIFS(tblPlan[Repeaters planned],tblPlan[Contract],$C$3,tblPlan[Final build week (Monday)],"&lt;"&amp;(BC$11+7*(IFERROR(INDEX(tblContracts[Kit-release lead (weeks before final build)],MATCH($C$3,tblContracts[Contract ID],0)),0)+1)))</f>
        <v/>
      </c>
      <c r="BD17" s="65">
        <f>SUMIFS(tblPlan[Repeaters planned],tblPlan[Contract],$C$3,tblPlan[Final build week (Monday)],"&lt;"&amp;(BD$11+7*(IFERROR(INDEX(tblContracts[Kit-release lead (weeks before final build)],MATCH($C$3,tblContracts[Contract ID],0)),0)+1)))</f>
        <v/>
      </c>
    </row>
    <row r="18">
      <c r="B18" s="64" t="inlineStr">
        <is>
          <t>Kit coverage</t>
        </is>
      </c>
      <c r="C18" s="8" t="inlineStr">
        <is>
          <t>vs current supplied totals</t>
        </is>
      </c>
      <c r="D18" s="66">
        <f>IF(COUNTIF(tblAssemblies[Contract],$C$3)=0,"",IF(COUNTIFS(tblAssemblies[Contract],$C$3,tblAssemblies[Complete sets (calc)],"")+COUNTIFS(tblAssemblies[Contract],$C$3,tblAssemblies[Check (calc)],"DUPLICATE*")+COUNTIFS(tblAssemblies[Contract],$C$3,tblAssemblies[Check (calc)],"Unknown*")&gt;0,"",_xlfn.MINIFS(tblAssemblies[Complete sets (calc)],tblAssemblies[Contract],$C$3)))</f>
        <v/>
      </c>
      <c r="E18" s="67">
        <f>IF(E13="","",IF(NOT(ISNUMBER($D$18)),"setup",IF($D$18&gt;=E17,"covered",IF(E$11&lt;=ThisWeek,"NOT covered","not yet"))))</f>
        <v/>
      </c>
      <c r="F18" s="67">
        <f>IF(F13="","",IF(NOT(ISNUMBER($D$18)),"setup",IF($D$18&gt;=F17,"covered",IF(F$11&lt;=ThisWeek,"NOT covered","not yet"))))</f>
        <v/>
      </c>
      <c r="G18" s="67">
        <f>IF(G13="","",IF(NOT(ISNUMBER($D$18)),"setup",IF($D$18&gt;=G17,"covered",IF(G$11&lt;=ThisWeek,"NOT covered","not yet"))))</f>
        <v/>
      </c>
      <c r="H18" s="67">
        <f>IF(H13="","",IF(NOT(ISNUMBER($D$18)),"setup",IF($D$18&gt;=H17,"covered",IF(H$11&lt;=ThisWeek,"NOT covered","not yet"))))</f>
        <v/>
      </c>
      <c r="I18" s="67">
        <f>IF(I13="","",IF(NOT(ISNUMBER($D$18)),"setup",IF($D$18&gt;=I17,"covered",IF(I$11&lt;=ThisWeek,"NOT covered","not yet"))))</f>
        <v/>
      </c>
      <c r="J18" s="67">
        <f>IF(J13="","",IF(NOT(ISNUMBER($D$18)),"setup",IF($D$18&gt;=J17,"covered",IF(J$11&lt;=ThisWeek,"NOT covered","not yet"))))</f>
        <v/>
      </c>
      <c r="K18" s="67">
        <f>IF(K13="","",IF(NOT(ISNUMBER($D$18)),"setup",IF($D$18&gt;=K17,"covered",IF(K$11&lt;=ThisWeek,"NOT covered","not yet"))))</f>
        <v/>
      </c>
      <c r="L18" s="67">
        <f>IF(L13="","",IF(NOT(ISNUMBER($D$18)),"setup",IF($D$18&gt;=L17,"covered",IF(L$11&lt;=ThisWeek,"NOT covered","not yet"))))</f>
        <v/>
      </c>
      <c r="M18" s="67">
        <f>IF(M13="","",IF(NOT(ISNUMBER($D$18)),"setup",IF($D$18&gt;=M17,"covered",IF(M$11&lt;=ThisWeek,"NOT covered","not yet"))))</f>
        <v/>
      </c>
      <c r="N18" s="67">
        <f>IF(N13="","",IF(NOT(ISNUMBER($D$18)),"setup",IF($D$18&gt;=N17,"covered",IF(N$11&lt;=ThisWeek,"NOT covered","not yet"))))</f>
        <v/>
      </c>
      <c r="O18" s="67">
        <f>IF(O13="","",IF(NOT(ISNUMBER($D$18)),"setup",IF($D$18&gt;=O17,"covered",IF(O$11&lt;=ThisWeek,"NOT covered","not yet"))))</f>
        <v/>
      </c>
      <c r="P18" s="67">
        <f>IF(P13="","",IF(NOT(ISNUMBER($D$18)),"setup",IF($D$18&gt;=P17,"covered",IF(P$11&lt;=ThisWeek,"NOT covered","not yet"))))</f>
        <v/>
      </c>
      <c r="Q18" s="67">
        <f>IF(Q13="","",IF(NOT(ISNUMBER($D$18)),"setup",IF($D$18&gt;=Q17,"covered",IF(Q$11&lt;=ThisWeek,"NOT covered","not yet"))))</f>
        <v/>
      </c>
      <c r="R18" s="67">
        <f>IF(R13="","",IF(NOT(ISNUMBER($D$18)),"setup",IF($D$18&gt;=R17,"covered",IF(R$11&lt;=ThisWeek,"NOT covered","not yet"))))</f>
        <v/>
      </c>
      <c r="S18" s="67">
        <f>IF(S13="","",IF(NOT(ISNUMBER($D$18)),"setup",IF($D$18&gt;=S17,"covered",IF(S$11&lt;=ThisWeek,"NOT covered","not yet"))))</f>
        <v/>
      </c>
      <c r="T18" s="67">
        <f>IF(T13="","",IF(NOT(ISNUMBER($D$18)),"setup",IF($D$18&gt;=T17,"covered",IF(T$11&lt;=ThisWeek,"NOT covered","not yet"))))</f>
        <v/>
      </c>
      <c r="U18" s="67">
        <f>IF(U13="","",IF(NOT(ISNUMBER($D$18)),"setup",IF($D$18&gt;=U17,"covered",IF(U$11&lt;=ThisWeek,"NOT covered","not yet"))))</f>
        <v/>
      </c>
      <c r="V18" s="67">
        <f>IF(V13="","",IF(NOT(ISNUMBER($D$18)),"setup",IF($D$18&gt;=V17,"covered",IF(V$11&lt;=ThisWeek,"NOT covered","not yet"))))</f>
        <v/>
      </c>
      <c r="W18" s="67">
        <f>IF(W13="","",IF(NOT(ISNUMBER($D$18)),"setup",IF($D$18&gt;=W17,"covered",IF(W$11&lt;=ThisWeek,"NOT covered","not yet"))))</f>
        <v/>
      </c>
      <c r="X18" s="67">
        <f>IF(X13="","",IF(NOT(ISNUMBER($D$18)),"setup",IF($D$18&gt;=X17,"covered",IF(X$11&lt;=ThisWeek,"NOT covered","not yet"))))</f>
        <v/>
      </c>
      <c r="Y18" s="67">
        <f>IF(Y13="","",IF(NOT(ISNUMBER($D$18)),"setup",IF($D$18&gt;=Y17,"covered",IF(Y$11&lt;=ThisWeek,"NOT covered","not yet"))))</f>
        <v/>
      </c>
      <c r="Z18" s="67">
        <f>IF(Z13="","",IF(NOT(ISNUMBER($D$18)),"setup",IF($D$18&gt;=Z17,"covered",IF(Z$11&lt;=ThisWeek,"NOT covered","not yet"))))</f>
        <v/>
      </c>
      <c r="AA18" s="67">
        <f>IF(AA13="","",IF(NOT(ISNUMBER($D$18)),"setup",IF($D$18&gt;=AA17,"covered",IF(AA$11&lt;=ThisWeek,"NOT covered","not yet"))))</f>
        <v/>
      </c>
      <c r="AB18" s="67">
        <f>IF(AB13="","",IF(NOT(ISNUMBER($D$18)),"setup",IF($D$18&gt;=AB17,"covered",IF(AB$11&lt;=ThisWeek,"NOT covered","not yet"))))</f>
        <v/>
      </c>
      <c r="AC18" s="67">
        <f>IF(AC13="","",IF(NOT(ISNUMBER($D$18)),"setup",IF($D$18&gt;=AC17,"covered",IF(AC$11&lt;=ThisWeek,"NOT covered","not yet"))))</f>
        <v/>
      </c>
      <c r="AD18" s="67">
        <f>IF(AD13="","",IF(NOT(ISNUMBER($D$18)),"setup",IF($D$18&gt;=AD17,"covered",IF(AD$11&lt;=ThisWeek,"NOT covered","not yet"))))</f>
        <v/>
      </c>
      <c r="AE18" s="67">
        <f>IF(AE13="","",IF(NOT(ISNUMBER($D$18)),"setup",IF($D$18&gt;=AE17,"covered",IF(AE$11&lt;=ThisWeek,"NOT covered","not yet"))))</f>
        <v/>
      </c>
      <c r="AF18" s="67">
        <f>IF(AF13="","",IF(NOT(ISNUMBER($D$18)),"setup",IF($D$18&gt;=AF17,"covered",IF(AF$11&lt;=ThisWeek,"NOT covered","not yet"))))</f>
        <v/>
      </c>
      <c r="AG18" s="67">
        <f>IF(AG13="","",IF(NOT(ISNUMBER($D$18)),"setup",IF($D$18&gt;=AG17,"covered",IF(AG$11&lt;=ThisWeek,"NOT covered","not yet"))))</f>
        <v/>
      </c>
      <c r="AH18" s="67">
        <f>IF(AH13="","",IF(NOT(ISNUMBER($D$18)),"setup",IF($D$18&gt;=AH17,"covered",IF(AH$11&lt;=ThisWeek,"NOT covered","not yet"))))</f>
        <v/>
      </c>
      <c r="AI18" s="67">
        <f>IF(AI13="","",IF(NOT(ISNUMBER($D$18)),"setup",IF($D$18&gt;=AI17,"covered",IF(AI$11&lt;=ThisWeek,"NOT covered","not yet"))))</f>
        <v/>
      </c>
      <c r="AJ18" s="67">
        <f>IF(AJ13="","",IF(NOT(ISNUMBER($D$18)),"setup",IF($D$18&gt;=AJ17,"covered",IF(AJ$11&lt;=ThisWeek,"NOT covered","not yet"))))</f>
        <v/>
      </c>
      <c r="AK18" s="67">
        <f>IF(AK13="","",IF(NOT(ISNUMBER($D$18)),"setup",IF($D$18&gt;=AK17,"covered",IF(AK$11&lt;=ThisWeek,"NOT covered","not yet"))))</f>
        <v/>
      </c>
      <c r="AL18" s="67">
        <f>IF(AL13="","",IF(NOT(ISNUMBER($D$18)),"setup",IF($D$18&gt;=AL17,"covered",IF(AL$11&lt;=ThisWeek,"NOT covered","not yet"))))</f>
        <v/>
      </c>
      <c r="AM18" s="67">
        <f>IF(AM13="","",IF(NOT(ISNUMBER($D$18)),"setup",IF($D$18&gt;=AM17,"covered",IF(AM$11&lt;=ThisWeek,"NOT covered","not yet"))))</f>
        <v/>
      </c>
      <c r="AN18" s="67">
        <f>IF(AN13="","",IF(NOT(ISNUMBER($D$18)),"setup",IF($D$18&gt;=AN17,"covered",IF(AN$11&lt;=ThisWeek,"NOT covered","not yet"))))</f>
        <v/>
      </c>
      <c r="AO18" s="67">
        <f>IF(AO13="","",IF(NOT(ISNUMBER($D$18)),"setup",IF($D$18&gt;=AO17,"covered",IF(AO$11&lt;=ThisWeek,"NOT covered","not yet"))))</f>
        <v/>
      </c>
      <c r="AP18" s="67">
        <f>IF(AP13="","",IF(NOT(ISNUMBER($D$18)),"setup",IF($D$18&gt;=AP17,"covered",IF(AP$11&lt;=ThisWeek,"NOT covered","not yet"))))</f>
        <v/>
      </c>
      <c r="AQ18" s="67">
        <f>IF(AQ13="","",IF(NOT(ISNUMBER($D$18)),"setup",IF($D$18&gt;=AQ17,"covered",IF(AQ$11&lt;=ThisWeek,"NOT covered","not yet"))))</f>
        <v/>
      </c>
      <c r="AR18" s="67">
        <f>IF(AR13="","",IF(NOT(ISNUMBER($D$18)),"setup",IF($D$18&gt;=AR17,"covered",IF(AR$11&lt;=ThisWeek,"NOT covered","not yet"))))</f>
        <v/>
      </c>
      <c r="AS18" s="67">
        <f>IF(AS13="","",IF(NOT(ISNUMBER($D$18)),"setup",IF($D$18&gt;=AS17,"covered",IF(AS$11&lt;=ThisWeek,"NOT covered","not yet"))))</f>
        <v/>
      </c>
      <c r="AT18" s="67">
        <f>IF(AT13="","",IF(NOT(ISNUMBER($D$18)),"setup",IF($D$18&gt;=AT17,"covered",IF(AT$11&lt;=ThisWeek,"NOT covered","not yet"))))</f>
        <v/>
      </c>
      <c r="AU18" s="67">
        <f>IF(AU13="","",IF(NOT(ISNUMBER($D$18)),"setup",IF($D$18&gt;=AU17,"covered",IF(AU$11&lt;=ThisWeek,"NOT covered","not yet"))))</f>
        <v/>
      </c>
      <c r="AV18" s="67">
        <f>IF(AV13="","",IF(NOT(ISNUMBER($D$18)),"setup",IF($D$18&gt;=AV17,"covered",IF(AV$11&lt;=ThisWeek,"NOT covered","not yet"))))</f>
        <v/>
      </c>
      <c r="AW18" s="67">
        <f>IF(AW13="","",IF(NOT(ISNUMBER($D$18)),"setup",IF($D$18&gt;=AW17,"covered",IF(AW$11&lt;=ThisWeek,"NOT covered","not yet"))))</f>
        <v/>
      </c>
      <c r="AX18" s="67">
        <f>IF(AX13="","",IF(NOT(ISNUMBER($D$18)),"setup",IF($D$18&gt;=AX17,"covered",IF(AX$11&lt;=ThisWeek,"NOT covered","not yet"))))</f>
        <v/>
      </c>
      <c r="AY18" s="67">
        <f>IF(AY13="","",IF(NOT(ISNUMBER($D$18)),"setup",IF($D$18&gt;=AY17,"covered",IF(AY$11&lt;=ThisWeek,"NOT covered","not yet"))))</f>
        <v/>
      </c>
      <c r="AZ18" s="67">
        <f>IF(AZ13="","",IF(NOT(ISNUMBER($D$18)),"setup",IF($D$18&gt;=AZ17,"covered",IF(AZ$11&lt;=ThisWeek,"NOT covered","not yet"))))</f>
        <v/>
      </c>
      <c r="BA18" s="67">
        <f>IF(BA13="","",IF(NOT(ISNUMBER($D$18)),"setup",IF($D$18&gt;=BA17,"covered",IF(BA$11&lt;=ThisWeek,"NOT covered","not yet"))))</f>
        <v/>
      </c>
      <c r="BB18" s="67">
        <f>IF(BB13="","",IF(NOT(ISNUMBER($D$18)),"setup",IF($D$18&gt;=BB17,"covered",IF(BB$11&lt;=ThisWeek,"NOT covered","not yet"))))</f>
        <v/>
      </c>
      <c r="BC18" s="67">
        <f>IF(BC13="","",IF(NOT(ISNUMBER($D$18)),"setup",IF($D$18&gt;=BC17,"covered",IF(BC$11&lt;=ThisWeek,"NOT covered","not yet"))))</f>
        <v/>
      </c>
      <c r="BD18" s="67">
        <f>IF(BD13="","",IF(NOT(ISNUMBER($D$18)),"setup",IF($D$18&gt;=BD17,"covered",IF(BD$11&lt;=ThisWeek,"NOT covered","not yet"))))</f>
        <v/>
      </c>
    </row>
    <row r="19">
      <c r="B19" s="33" t="inlineStr">
        <is>
          <t>Complete kits supplied now</t>
        </is>
      </c>
      <c r="C19" s="68">
        <f>IF(ISNUMBER(D18),D18&amp;" complete kits (current total, not dated)","Assembly setup required / incomplete")</f>
        <v/>
      </c>
    </row>
  </sheetData>
  <sheetProtection selectLockedCells="0" selectUnlockedCells="0" sheet="1" objects="0" insertRows="1" insertHyperlinks="1" autoFilter="1" scenarios="0" formatColumns="0" deleteColumns="1" insertColumns="1" pivotTables="1" deleteRows="1" formatCells="1" formatRows="1" sort="1"/>
  <mergeCells count="11">
    <mergeCell ref="E5:BD5"/>
    <mergeCell ref="R7:U7"/>
    <mergeCell ref="E6:BD6"/>
    <mergeCell ref="E7:H7"/>
    <mergeCell ref="V7:Y7"/>
    <mergeCell ref="I7:L7"/>
    <mergeCell ref="AA7:AD7"/>
    <mergeCell ref="C19:P19"/>
    <mergeCell ref="E3:Z3"/>
    <mergeCell ref="C3:D3"/>
    <mergeCell ref="N7:Q7"/>
  </mergeCells>
  <conditionalFormatting sqref="E13:BD13">
    <cfRule type="expression" priority="1" dxfId="10">
      <formula>AND(E13&lt;&gt;"",E18="covered")</formula>
    </cfRule>
    <cfRule type="expression" priority="2" dxfId="11">
      <formula>AND(E13&lt;&gt;"",E18="NOT covered")</formula>
    </cfRule>
    <cfRule type="expression" priority="3" dxfId="12">
      <formula>E13&lt;&gt;""</formula>
    </cfRule>
  </conditionalFormatting>
  <conditionalFormatting sqref="E14:BD14">
    <cfRule type="expression" priority="4" dxfId="8">
      <formula>E14&lt;&gt;""</formula>
    </cfRule>
  </conditionalFormatting>
  <conditionalFormatting sqref="E15:BD15">
    <cfRule type="expression" priority="5" dxfId="13">
      <formula>E15&lt;&gt;""</formula>
    </cfRule>
  </conditionalFormatting>
  <conditionalFormatting sqref="E18:BD18">
    <cfRule type="expression" priority="6" dxfId="14">
      <formula>E18="covered"</formula>
    </cfRule>
    <cfRule type="expression" priority="7" dxfId="15">
      <formula>E18="NOT covered"</formula>
    </cfRule>
  </conditionalFormatting>
  <conditionalFormatting sqref="E10:BD10">
    <cfRule type="expression" priority="8" dxfId="16">
      <formula>E$11=ThisWeek</formula>
    </cfRule>
  </conditionalFormatting>
  <conditionalFormatting sqref="E9:BD19">
    <cfRule type="expression" priority="9" dxfId="17">
      <formula>E$11=ThisWeek</formula>
    </cfRule>
  </conditionalFormatting>
  <dataValidations count="3">
    <dataValidation sqref="C3" showDropDown="0" showInputMessage="0" showErrorMessage="1" allowBlank="0" errorTitle="Check entry" error="Pick a contract from the list." type="list" errorStyle="stop">
      <formula1>ContractList</formula1>
    </dataValidation>
    <dataValidation sqref="C5" showDropDown="0" showInputMessage="0" showErrorMessage="1" allowBlank="0" errorTitle="Check entry" error="Whole number of weeks (0–520)." type="whole" errorStyle="stop" operator="between">
      <formula1>0</formula1>
      <formula2>520</formula2>
    </dataValidation>
    <dataValidation sqref="C6" showDropDown="0" showInputMessage="0" showErrorMessage="1" allowBlank="1" errorTitle="Check entry" error="Enter a date, or leave blank." type="date" errorStyle="stop" operator="greaterThan">
      <formula1>43831</formula1>
    </dataValidation>
  </dataValidation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1" summaryRight="1"/>
    <pageSetUpPr/>
  </sheetPr>
  <dimension ref="A1:M19"/>
  <sheetViews>
    <sheetView showGridLines="0" workbookViewId="0">
      <pane ySplit="7" topLeftCell="A8" activePane="bottomLeft" state="frozen"/>
      <selection pane="bottomLeft" activeCell="A1" sqref="A1"/>
    </sheetView>
  </sheetViews>
  <sheetFormatPr baseColWidth="8" defaultRowHeight="15"/>
  <cols>
    <col width="18" customWidth="1" min="1" max="1"/>
    <col width="22" customWidth="1" min="2" max="2"/>
    <col width="24" customWidth="1" min="3" max="3"/>
    <col width="18" customWidth="1" min="4" max="4"/>
    <col width="10" customWidth="1" min="5" max="5"/>
    <col width="12" customWidth="1" min="6" max="6"/>
    <col width="14" customWidth="1" min="7" max="7"/>
    <col width="14" customWidth="1" min="8" max="8"/>
    <col width="30" customWidth="1" min="9" max="9"/>
    <col width="12" customWidth="1" min="10" max="10"/>
    <col width="22" customWidth="1" min="11" max="11"/>
    <col width="26" customWidth="1" min="12" max="12"/>
    <col width="22" customWidth="1" min="13" max="13"/>
  </cols>
  <sheetData>
    <row r="1">
      <c r="A1" s="69" t="inlineStr">
        <is>
          <t>CONTRACTS</t>
        </is>
      </c>
    </row>
    <row r="2">
      <c r="A2" s="70" t="inlineStr">
        <is>
          <t>One row per contract (top-level ++ code). Yellow columns are typed; grey columns calculate. New rows appear automatically in the Dashboard and Gantt contract lists.</t>
        </is>
      </c>
    </row>
    <row r="4">
      <c r="A4" s="71" t="inlineStr">
        <is>
          <t>SETTING – Update interval (days)</t>
        </is>
      </c>
      <c r="C4" s="72" t="n">
        <v>7</v>
      </c>
      <c r="D4" s="73" t="inlineStr">
        <is>
          <t>Supplied totals older than this are flagged as out of date on the Dashboard.</t>
        </is>
      </c>
    </row>
    <row r="6">
      <c r="A6" s="74" t="inlineStr">
        <is>
          <t>INPUT ▼</t>
        </is>
      </c>
      <c r="B6" s="74" t="inlineStr">
        <is>
          <t>INPUT ▼</t>
        </is>
      </c>
      <c r="C6" s="74" t="inlineStr">
        <is>
          <t>INPUT ▼</t>
        </is>
      </c>
      <c r="D6" s="74" t="inlineStr">
        <is>
          <t>INPUT ▼</t>
        </is>
      </c>
      <c r="E6" s="74" t="inlineStr">
        <is>
          <t>INPUT ▼</t>
        </is>
      </c>
      <c r="F6" s="74" t="inlineStr">
        <is>
          <t>INPUT ▼</t>
        </is>
      </c>
      <c r="G6" s="74" t="inlineStr">
        <is>
          <t>INPUT ▼</t>
        </is>
      </c>
      <c r="H6" s="74" t="inlineStr">
        <is>
          <t>INPUT ▼</t>
        </is>
      </c>
      <c r="I6" s="74" t="inlineStr">
        <is>
          <t>INPUT ▼</t>
        </is>
      </c>
      <c r="J6" s="74" t="inlineStr">
        <is>
          <t>INPUT ▼</t>
        </is>
      </c>
      <c r="K6" s="74" t="inlineStr">
        <is>
          <t>INPUT ▼</t>
        </is>
      </c>
      <c r="L6" s="74" t="inlineStr">
        <is>
          <t>INPUT ▼</t>
        </is>
      </c>
      <c r="M6" s="75" t="inlineStr">
        <is>
          <t>CALCULATED – do not type ▼</t>
        </is>
      </c>
    </row>
    <row r="7" ht="44" customHeight="1">
      <c r="A7" s="76" t="inlineStr">
        <is>
          <t>Contract ID</t>
        </is>
      </c>
      <c r="B7" s="76" t="inlineStr">
        <is>
          <t>Friendly name</t>
        </is>
      </c>
      <c r="C7" s="76" t="inlineStr">
        <is>
          <t>Project</t>
        </is>
      </c>
      <c r="D7" s="76" t="inlineStr">
        <is>
          <t>Top-level assembly code</t>
        </is>
      </c>
      <c r="E7" s="76" t="inlineStr">
        <is>
          <t>Amps per repeater</t>
        </is>
      </c>
      <c r="F7" s="76" t="inlineStr">
        <is>
          <t>Total repeaters required</t>
        </is>
      </c>
      <c r="G7" s="76" t="inlineStr">
        <is>
          <t>Kit-release lead (weeks before final build)</t>
        </is>
      </c>
      <c r="H7" s="76" t="inlineStr">
        <is>
          <t>AMPS-build lead (weeks before final build)</t>
        </is>
      </c>
      <c r="I7" s="76" t="inlineStr">
        <is>
          <t>Plan revision</t>
        </is>
      </c>
      <c r="J7" s="76" t="inlineStr">
        <is>
          <t>Plan updated on</t>
        </is>
      </c>
      <c r="K7" s="76" t="inlineStr">
        <is>
          <t>Plan updated by</t>
        </is>
      </c>
      <c r="L7" s="76" t="inlineStr">
        <is>
          <t>Notes</t>
        </is>
      </c>
      <c r="M7" s="77" t="inlineStr">
        <is>
          <t>Setup check</t>
        </is>
      </c>
    </row>
    <row r="8">
      <c r="A8" s="78" t="inlineStr">
        <is>
          <t>WKE-R24P-T1-C</t>
        </is>
      </c>
      <c r="B8" s="78" t="inlineStr">
        <is>
          <t>Wamkelekile · 24FP</t>
        </is>
      </c>
      <c r="C8" s="78" t="inlineStr">
        <is>
          <t>Wamkelekile</t>
        </is>
      </c>
      <c r="D8" s="78" t="inlineStr">
        <is>
          <t>92ERP24543A++</t>
        </is>
      </c>
      <c r="E8" s="79" t="n">
        <v>24</v>
      </c>
      <c r="F8" s="79" t="n">
        <v>255</v>
      </c>
      <c r="G8" s="79" t="n">
        <v>2</v>
      </c>
      <c r="H8" s="79" t="n">
        <v>1</v>
      </c>
      <c r="I8" s="78" t="inlineStr">
        <is>
          <t>PLAN export 02-Sep-26</t>
        </is>
      </c>
      <c r="J8" s="80" t="n">
        <v>46300</v>
      </c>
      <c r="K8" s="78" t="inlineStr">
        <is>
          <t>Migrated from previous workbook</t>
        </is>
      </c>
      <c r="L8" s="79" t="n"/>
      <c r="M8"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9">
      <c r="A9" s="78" t="inlineStr">
        <is>
          <t>WBA-R24P-T1-C</t>
        </is>
      </c>
      <c r="B9" s="78" t="inlineStr">
        <is>
          <t>Waban · 24FP</t>
        </is>
      </c>
      <c r="C9" s="78" t="inlineStr">
        <is>
          <t>Waban</t>
        </is>
      </c>
      <c r="D9" s="78" t="inlineStr">
        <is>
          <t>92ERP24545A++</t>
        </is>
      </c>
      <c r="E9" s="79" t="n">
        <v>24</v>
      </c>
      <c r="F9" s="79" t="n">
        <v>200</v>
      </c>
      <c r="G9" s="79" t="n">
        <v>2</v>
      </c>
      <c r="H9" s="79" t="n">
        <v>1</v>
      </c>
      <c r="I9" s="78" t="inlineStr">
        <is>
          <t>PLAN export 02-Sep-26</t>
        </is>
      </c>
      <c r="J9" s="80" t="n">
        <v>46300</v>
      </c>
      <c r="K9" s="78" t="inlineStr">
        <is>
          <t>Migrated from previous workbook</t>
        </is>
      </c>
      <c r="L9" s="79" t="n"/>
      <c r="M9"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0">
      <c r="A10" s="78" t="inlineStr">
        <is>
          <t>E2A-R4P-T1-C</t>
        </is>
      </c>
      <c r="B10" s="78" t="inlineStr">
        <is>
          <t>E2A · 4FP</t>
        </is>
      </c>
      <c r="C10" s="78" t="inlineStr">
        <is>
          <t>E2A</t>
        </is>
      </c>
      <c r="D10" s="78" t="inlineStr">
        <is>
          <t>92ERP04548A++</t>
        </is>
      </c>
      <c r="E10" s="79" t="n">
        <v>4</v>
      </c>
      <c r="F10" s="79" t="n">
        <v>39</v>
      </c>
      <c r="G10" s="79" t="n">
        <v>2</v>
      </c>
      <c r="H10" s="79" t="n">
        <v>1</v>
      </c>
      <c r="I10" s="78" t="inlineStr">
        <is>
          <t>PLAN export 02-Sep-26</t>
        </is>
      </c>
      <c r="J10" s="80" t="n">
        <v>46300</v>
      </c>
      <c r="K10" s="78" t="inlineStr">
        <is>
          <t>Migrated from previous workbook</t>
        </is>
      </c>
      <c r="L10" s="79" t="n"/>
      <c r="M10"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1">
      <c r="A11" s="78" t="inlineStr">
        <is>
          <t>E2A-R4P-T2-M</t>
        </is>
      </c>
      <c r="B11" s="78" t="inlineStr">
        <is>
          <t>E2A · 4FP</t>
        </is>
      </c>
      <c r="C11" s="78" t="inlineStr">
        <is>
          <t>E2A</t>
        </is>
      </c>
      <c r="D11" s="78" t="inlineStr">
        <is>
          <t>92ERP04548B++</t>
        </is>
      </c>
      <c r="E11" s="79" t="n">
        <v>4</v>
      </c>
      <c r="F11" s="79" t="n">
        <v>11</v>
      </c>
      <c r="G11" s="79" t="n">
        <v>2</v>
      </c>
      <c r="H11" s="79" t="n">
        <v>1</v>
      </c>
      <c r="I11" s="78" t="inlineStr">
        <is>
          <t>PLAN export 02-Sep-26</t>
        </is>
      </c>
      <c r="J11" s="80" t="n">
        <v>46300</v>
      </c>
      <c r="K11" s="78" t="inlineStr">
        <is>
          <t>Migrated from previous workbook</t>
        </is>
      </c>
      <c r="L11" s="79" t="n"/>
      <c r="M11"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2">
      <c r="A12" s="78" t="inlineStr">
        <is>
          <t>E2A-R6P-T3-M</t>
        </is>
      </c>
      <c r="B12" s="78" t="inlineStr">
        <is>
          <t>E2A · 6FP</t>
        </is>
      </c>
      <c r="C12" s="78" t="inlineStr">
        <is>
          <t>E2A</t>
        </is>
      </c>
      <c r="D12" s="78" t="inlineStr">
        <is>
          <t>92ERP06548A++</t>
        </is>
      </c>
      <c r="E12" s="79" t="n">
        <v>6</v>
      </c>
      <c r="F12" s="79" t="n">
        <v>3</v>
      </c>
      <c r="G12" s="79" t="n">
        <v>2</v>
      </c>
      <c r="H12" s="79" t="n">
        <v>1</v>
      </c>
      <c r="I12" s="78" t="inlineStr">
        <is>
          <t>PLAN export 02-Sep-26</t>
        </is>
      </c>
      <c r="J12" s="80" t="n">
        <v>46300</v>
      </c>
      <c r="K12" s="78" t="inlineStr">
        <is>
          <t>Migrated from previous workbook</t>
        </is>
      </c>
      <c r="L12" s="79" t="n"/>
      <c r="M12"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3">
      <c r="A13" s="78" t="inlineStr">
        <is>
          <t>E2A-R8P-T4-C</t>
        </is>
      </c>
      <c r="B13" s="78" t="inlineStr">
        <is>
          <t>E2A · 8FP</t>
        </is>
      </c>
      <c r="C13" s="78" t="inlineStr">
        <is>
          <t>E2A</t>
        </is>
      </c>
      <c r="D13" s="78" t="inlineStr">
        <is>
          <t>92ERP08548A++</t>
        </is>
      </c>
      <c r="E13" s="79" t="n">
        <v>8</v>
      </c>
      <c r="F13" s="79" t="n">
        <v>10</v>
      </c>
      <c r="G13" s="79" t="n">
        <v>2</v>
      </c>
      <c r="H13" s="79" t="n">
        <v>1</v>
      </c>
      <c r="I13" s="78" t="inlineStr">
        <is>
          <t>PLAN export 02-Sep-26</t>
        </is>
      </c>
      <c r="J13" s="80" t="n">
        <v>46300</v>
      </c>
      <c r="K13" s="78" t="inlineStr">
        <is>
          <t>Migrated from previous workbook</t>
        </is>
      </c>
      <c r="L13" s="79" t="n"/>
      <c r="M13"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4">
      <c r="A14" s="78" t="inlineStr">
        <is>
          <t>E2A-R12P-T5-C</t>
        </is>
      </c>
      <c r="B14" s="78" t="inlineStr">
        <is>
          <t>E2A · 12FP</t>
        </is>
      </c>
      <c r="C14" s="78" t="inlineStr">
        <is>
          <t>E2A</t>
        </is>
      </c>
      <c r="D14" s="78" t="inlineStr">
        <is>
          <t>92ERP12548A++</t>
        </is>
      </c>
      <c r="E14" s="79" t="n">
        <v>12</v>
      </c>
      <c r="F14" s="79" t="n">
        <v>109</v>
      </c>
      <c r="G14" s="79" t="n">
        <v>2</v>
      </c>
      <c r="H14" s="79" t="n">
        <v>1</v>
      </c>
      <c r="I14" s="78" t="inlineStr">
        <is>
          <t>PLAN export 02-Sep-26 + ASP 01 2026 (Jan-26) weeks W24–W35</t>
        </is>
      </c>
      <c r="J14" s="80" t="n">
        <v>46300</v>
      </c>
      <c r="K14" s="78" t="inlineStr">
        <is>
          <t>Migrated from previous workbook</t>
        </is>
      </c>
      <c r="L14" s="79" t="n"/>
      <c r="M14"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5">
      <c r="A15" s="78" t="inlineStr">
        <is>
          <t>E2A-R12P-T6-C</t>
        </is>
      </c>
      <c r="B15" s="78" t="inlineStr">
        <is>
          <t>E2A · 12FP</t>
        </is>
      </c>
      <c r="C15" s="78" t="inlineStr">
        <is>
          <t>E2A</t>
        </is>
      </c>
      <c r="D15" s="78" t="inlineStr">
        <is>
          <t>92ERP12548B++</t>
        </is>
      </c>
      <c r="E15" s="79" t="n">
        <v>12</v>
      </c>
      <c r="F15" s="79" t="n">
        <v>5</v>
      </c>
      <c r="G15" s="79" t="n">
        <v>2</v>
      </c>
      <c r="H15" s="79" t="n">
        <v>1</v>
      </c>
      <c r="I15" s="78" t="inlineStr">
        <is>
          <t>PLAN export 02-Sep-26</t>
        </is>
      </c>
      <c r="J15" s="80" t="n">
        <v>46300</v>
      </c>
      <c r="K15" s="78" t="inlineStr">
        <is>
          <t>Migrated from previous workbook</t>
        </is>
      </c>
      <c r="L15" s="79" t="n"/>
      <c r="M15"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6">
      <c r="A16" s="78" t="inlineStr">
        <is>
          <t>E2A-R16P-T7-C</t>
        </is>
      </c>
      <c r="B16" s="78" t="inlineStr">
        <is>
          <t>E2A · 16FP</t>
        </is>
      </c>
      <c r="C16" s="78" t="inlineStr">
        <is>
          <t>E2A</t>
        </is>
      </c>
      <c r="D16" s="78" t="inlineStr">
        <is>
          <t>92ERP16548A++</t>
        </is>
      </c>
      <c r="E16" s="79" t="n">
        <v>16</v>
      </c>
      <c r="F16" s="79" t="n">
        <v>9</v>
      </c>
      <c r="G16" s="79" t="n">
        <v>2</v>
      </c>
      <c r="H16" s="79" t="n">
        <v>1</v>
      </c>
      <c r="I16" s="78" t="inlineStr">
        <is>
          <t>PLAN export 02-Sep-26</t>
        </is>
      </c>
      <c r="J16" s="80" t="n">
        <v>46300</v>
      </c>
      <c r="K16" s="78" t="inlineStr">
        <is>
          <t>Migrated from previous workbook</t>
        </is>
      </c>
      <c r="L16" s="79" t="n"/>
      <c r="M16"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7">
      <c r="A17" s="78" t="inlineStr">
        <is>
          <t>DARAJA-R8P (TBC)</t>
        </is>
      </c>
      <c r="B17" s="78" t="inlineStr">
        <is>
          <t>Daraja Ext to SA · 8FP (TBC)</t>
        </is>
      </c>
      <c r="C17" s="78" t="inlineStr">
        <is>
          <t>Daraja Ext to SA</t>
        </is>
      </c>
      <c r="D17" s="78" t="inlineStr">
        <is>
          <t>Not yet released</t>
        </is>
      </c>
      <c r="E17" s="79" t="n">
        <v>8</v>
      </c>
      <c r="F17" s="79" t="n">
        <v>10</v>
      </c>
      <c r="G17" s="79" t="n">
        <v>2</v>
      </c>
      <c r="H17" s="79" t="n">
        <v>1</v>
      </c>
      <c r="I17" s="78" t="inlineStr">
        <is>
          <t>PLAN export 02-Sep-26</t>
        </is>
      </c>
      <c r="J17" s="80" t="n">
        <v>46300</v>
      </c>
      <c r="K17" s="78" t="inlineStr">
        <is>
          <t>Migrated from previous workbook</t>
        </is>
      </c>
      <c r="L17" s="78" t="inlineStr">
        <is>
          <t>Top code not yet released</t>
        </is>
      </c>
      <c r="M17"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8">
      <c r="A18" s="78" t="inlineStr">
        <is>
          <t>DARAJA-R24P (TBC)</t>
        </is>
      </c>
      <c r="B18" s="78" t="inlineStr">
        <is>
          <t>Daraja Ext to SA · 24FP (TBC)</t>
        </is>
      </c>
      <c r="C18" s="78" t="inlineStr">
        <is>
          <t>Daraja Ext to SA</t>
        </is>
      </c>
      <c r="D18" s="78" t="inlineStr">
        <is>
          <t>Not yet released</t>
        </is>
      </c>
      <c r="E18" s="79" t="n">
        <v>24</v>
      </c>
      <c r="F18" s="79" t="n">
        <v>46</v>
      </c>
      <c r="G18" s="79" t="n">
        <v>2</v>
      </c>
      <c r="H18" s="79" t="n">
        <v>1</v>
      </c>
      <c r="I18" s="78" t="inlineStr">
        <is>
          <t>PLAN export 02-Sep-26</t>
        </is>
      </c>
      <c r="J18" s="80" t="n">
        <v>46300</v>
      </c>
      <c r="K18" s="78" t="inlineStr">
        <is>
          <t>Migrated from previous workbook</t>
        </is>
      </c>
      <c r="L18" s="78" t="inlineStr">
        <is>
          <t>Top code not yet released</t>
        </is>
      </c>
      <c r="M18"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row r="19">
      <c r="A19" s="78" t="inlineStr">
        <is>
          <t>REUNION-SOUTH-R16P (TBC)</t>
        </is>
      </c>
      <c r="B19" s="78" t="inlineStr">
        <is>
          <t>Reunion-South Africa (wet plant only) · 16FP (TBC)</t>
        </is>
      </c>
      <c r="C19" s="78" t="inlineStr">
        <is>
          <t>Reunion-South Africa (wet plant only)</t>
        </is>
      </c>
      <c r="D19" s="78" t="inlineStr">
        <is>
          <t>Not yet released</t>
        </is>
      </c>
      <c r="E19" s="79" t="n">
        <v>16</v>
      </c>
      <c r="F19" s="79" t="n">
        <v>31</v>
      </c>
      <c r="G19" s="79" t="n">
        <v>2</v>
      </c>
      <c r="H19" s="79" t="n">
        <v>1</v>
      </c>
      <c r="I19" s="78" t="inlineStr">
        <is>
          <t>PLAN export 02-Sep-26</t>
        </is>
      </c>
      <c r="J19" s="80" t="n">
        <v>46300</v>
      </c>
      <c r="K19" s="78" t="inlineStr">
        <is>
          <t>Migrated from previous workbook</t>
        </is>
      </c>
      <c r="L19" s="78" t="inlineStr">
        <is>
          <t>Top code not yet released</t>
        </is>
      </c>
      <c r="M19" s="81">
        <f>IF(tblContracts[[#This Row],[Contract ID]]="","Missing contract ID",IF(COUNTIF(tblContracts[Contract ID],tblContracts[[#This Row],[Contract ID]])&gt;1,"DUPLICATE contract ID",IF(OR(NOT(ISNUMBER(tblContracts[[#This Row],[Total repeaters required]])),tblContracts[[#This Row],[Total repeaters required]]&lt;=0),"Total repeaters missing",IF(OR(NOT(ISNUMBER(tblContracts[[#This Row],[Kit-release lead (weeks before final build)]])),NOT(ISNUMBER(tblContracts[[#This Row],[AMPS-build lead (weeks before final build)]]))),"Lead time missing",IF(COUNTIF(tblAssemblies[Contract],tblContracts[[#This Row],[Contract ID]])=0,"Assembly setup required","OK")))))</f>
        <v/>
      </c>
    </row>
  </sheetData>
  <conditionalFormatting sqref="M8:M5007">
    <cfRule type="expression" priority="1" dxfId="7">
      <formula>AND(M8&lt;&gt;"",M8&lt;&gt;"OK",M8&lt;&gt;"Not yet updated")</formula>
    </cfRule>
    <cfRule type="expression" priority="2" dxfId="8">
      <formula>M8="Not yet updated"</formula>
    </cfRule>
    <cfRule type="expression" priority="3" dxfId="18">
      <formula>M8="OK"</formula>
    </cfRule>
  </conditionalFormatting>
  <dataValidations count="6">
    <dataValidation sqref="E8:E5007" showDropDown="0" showInputMessage="0" showErrorMessage="1" allowBlank="1" errorTitle="Check entry" error="Whole number above 0." type="whole" errorStyle="stop" operator="greaterThan">
      <formula1>0</formula1>
    </dataValidation>
    <dataValidation sqref="F8:F5007" showDropDown="0" showInputMessage="0" showErrorMessage="1" allowBlank="1" errorTitle="Check entry" error="Whole number above 0." type="whole" errorStyle="stop" operator="greaterThan">
      <formula1>0</formula1>
    </dataValidation>
    <dataValidation sqref="G8:G5007" showDropDown="0" showInputMessage="0" showErrorMessage="1" allowBlank="1" errorTitle="Check entry" error="Lead time in whole weeks (0–20)." type="whole" errorStyle="stop" operator="between">
      <formula1>0</formula1>
      <formula2>20</formula2>
    </dataValidation>
    <dataValidation sqref="H8:H5007" showDropDown="0" showInputMessage="0" showErrorMessage="1" allowBlank="1" errorTitle="Check entry" error="Lead time in whole weeks (0–20)." type="whole" errorStyle="stop" operator="between">
      <formula1>0</formula1>
      <formula2>20</formula2>
    </dataValidation>
    <dataValidation sqref="J8:J5007" showDropDown="0" showInputMessage="0" showErrorMessage="1" allowBlank="1" errorTitle="Check entry" error="Enter a date." type="date" errorStyle="stop" operator="greaterThan">
      <formula1>43831</formula1>
    </dataValidation>
    <dataValidation sqref="C4" showDropDown="0" showInputMessage="0" showErrorMessage="1" allowBlank="0" errorTitle="Check entry" error="Days between 1 and 365." type="whole" errorStyle="stop" operator="between">
      <formula1>1</formula1>
      <formula2>365</formula2>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37"/>
  <sheetViews>
    <sheetView showGridLines="0" workbookViewId="0">
      <pane ySplit="7" topLeftCell="A8" activePane="bottomLeft" state="frozen"/>
      <selection pane="bottomLeft" activeCell="A1" sqref="A1"/>
    </sheetView>
  </sheetViews>
  <sheetFormatPr baseColWidth="8" defaultRowHeight="15"/>
  <cols>
    <col width="18" customWidth="1" min="1" max="1"/>
    <col width="14" customWidth="1" min="2" max="2"/>
    <col width="17" customWidth="1" min="3" max="3"/>
    <col width="40" customWidth="1" min="4" max="4"/>
    <col width="10" customWidth="1" min="5" max="5"/>
    <col width="13" customWidth="1" min="6" max="6"/>
    <col width="12" customWidth="1" min="7" max="7"/>
    <col width="18" customWidth="1" min="8" max="8"/>
    <col width="34" customWidth="1" min="9" max="9"/>
    <col width="22" customWidth="1" min="10" max="10"/>
    <col width="11" customWidth="1" min="11" max="11"/>
    <col width="24" customWidth="1" min="12" max="12"/>
  </cols>
  <sheetData>
    <row r="1">
      <c r="A1" s="69" t="inlineStr">
        <is>
          <t>ASSEMBLIES &amp; TOTALS</t>
        </is>
      </c>
    </row>
    <row r="2" ht="26" customHeight="1">
      <c r="A2" s="82" t="inlineStr">
        <is>
          <t>Enter the TOTAL supplied to date, not this week's additions. If the existing total is 26 and another 4 are supplied, enter 30.</t>
        </is>
      </c>
    </row>
    <row r="3" ht="30" customHeight="1">
      <c r="A3" s="24" t="inlineStr">
        <is>
          <t>When you change a total, also update 'Updated on', 'Updated by' and 'Source reference' (e.g. the SAP export filename). If you REDUCE a total to correct a mistake, write why in 'Correction note'. The workbook does not keep previous values.</t>
        </is>
      </c>
    </row>
    <row r="4">
      <c r="A4" s="73" t="inlineStr">
        <is>
          <t>One row per contract + assembly code. A code used by two contracts needs two rows (separate totals).</t>
        </is>
      </c>
    </row>
    <row r="6">
      <c r="A6" s="74" t="inlineStr">
        <is>
          <t>INPUT ▼</t>
        </is>
      </c>
      <c r="B6" s="74" t="inlineStr">
        <is>
          <t>INPUT ▼</t>
        </is>
      </c>
      <c r="C6" s="74" t="inlineStr">
        <is>
          <t>INPUT ▼</t>
        </is>
      </c>
      <c r="D6" s="74" t="inlineStr">
        <is>
          <t>INPUT ▼</t>
        </is>
      </c>
      <c r="E6" s="74" t="inlineStr">
        <is>
          <t>INPUT ▼</t>
        </is>
      </c>
      <c r="F6" s="74" t="inlineStr">
        <is>
          <t>INPUT ▼</t>
        </is>
      </c>
      <c r="G6" s="74" t="inlineStr">
        <is>
          <t>INPUT ▼</t>
        </is>
      </c>
      <c r="H6" s="74" t="inlineStr">
        <is>
          <t>INPUT ▼</t>
        </is>
      </c>
      <c r="I6" s="74" t="inlineStr">
        <is>
          <t>INPUT ▼</t>
        </is>
      </c>
      <c r="J6" s="74" t="inlineStr">
        <is>
          <t>INPUT ▼</t>
        </is>
      </c>
      <c r="K6" s="75" t="inlineStr">
        <is>
          <t>CALCULATED – do not type ▼</t>
        </is>
      </c>
      <c r="L6" s="75" t="inlineStr">
        <is>
          <t>CALCULATED – do not type ▼</t>
        </is>
      </c>
    </row>
    <row r="7" ht="34" customHeight="1">
      <c r="A7" s="76" t="inlineStr">
        <is>
          <t>Contract</t>
        </is>
      </c>
      <c r="B7" s="76" t="inlineStr">
        <is>
          <t>Assembly group</t>
        </is>
      </c>
      <c r="C7" s="76" t="inlineStr">
        <is>
          <t>Assembly code</t>
        </is>
      </c>
      <c r="D7" s="76" t="inlineStr">
        <is>
          <t>Description</t>
        </is>
      </c>
      <c r="E7" s="76" t="inlineStr">
        <is>
          <t>Qty per repeater</t>
        </is>
      </c>
      <c r="F7" s="76" t="inlineStr">
        <is>
          <t>Cumulative supplied to date</t>
        </is>
      </c>
      <c r="G7" s="76" t="inlineStr">
        <is>
          <t>Updated on</t>
        </is>
      </c>
      <c r="H7" s="76" t="inlineStr">
        <is>
          <t>Updated by</t>
        </is>
      </c>
      <c r="I7" s="76" t="inlineStr">
        <is>
          <t>Source reference</t>
        </is>
      </c>
      <c r="J7" s="76" t="inlineStr">
        <is>
          <t>Correction note</t>
        </is>
      </c>
      <c r="K7" s="77" t="inlineStr">
        <is>
          <t>Complete sets (calc)</t>
        </is>
      </c>
      <c r="L7" s="77" t="inlineStr">
        <is>
          <t>Check (calc)</t>
        </is>
      </c>
    </row>
    <row r="8">
      <c r="A8" s="78" t="inlineStr">
        <is>
          <t>E2A-R12P-T5-C</t>
        </is>
      </c>
      <c r="B8" s="78" t="inlineStr">
        <is>
          <t>LASER ASSY</t>
        </is>
      </c>
      <c r="C8" s="78" t="inlineStr">
        <is>
          <t>92YLS00548BAA</t>
        </is>
      </c>
      <c r="D8" s="78" t="inlineStr">
        <is>
          <t>R5B LASER ASSEMBLY 4P BOAT 1 - E2A</t>
        </is>
      </c>
      <c r="E8" s="79" t="n">
        <v>1</v>
      </c>
      <c r="F8" s="79" t="n">
        <v>13</v>
      </c>
      <c r="G8" s="80" t="n">
        <v>46297</v>
      </c>
      <c r="H8" s="78" t="inlineStr">
        <is>
          <t>Migrated from previous workbook</t>
        </is>
      </c>
      <c r="I8" s="78" t="inlineStr">
        <is>
          <t>Previous workbook Release Log (182 lines from COOIS new_e2a, 03-Oct-26)</t>
        </is>
      </c>
      <c r="J8" s="79" t="n"/>
      <c r="K8"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8"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9">
      <c r="A9" s="78" t="inlineStr">
        <is>
          <t>E2A-R12P-T5-C</t>
        </is>
      </c>
      <c r="B9" s="78" t="inlineStr">
        <is>
          <t>LASER ASSY</t>
        </is>
      </c>
      <c r="C9" s="78" t="inlineStr">
        <is>
          <t>92YLS00548BBA</t>
        </is>
      </c>
      <c r="D9" s="78" t="inlineStr">
        <is>
          <t>R5B LASER ASSEMBLY 4P BOAT 2/3 - E2A</t>
        </is>
      </c>
      <c r="E9" s="79" t="n">
        <v>2</v>
      </c>
      <c r="F9" s="79" t="n">
        <v>26</v>
      </c>
      <c r="G9" s="80" t="n">
        <v>46297</v>
      </c>
      <c r="H9" s="78" t="inlineStr">
        <is>
          <t>Migrated from previous workbook</t>
        </is>
      </c>
      <c r="I9" s="78" t="inlineStr">
        <is>
          <t>Previous workbook Release Log (182 lines from COOIS new_e2a, 03-Oct-26)</t>
        </is>
      </c>
      <c r="J9" s="79" t="n"/>
      <c r="K9"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9"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0">
      <c r="A10" s="78" t="inlineStr">
        <is>
          <t>E2A-R12P-T5-C</t>
        </is>
      </c>
      <c r="B10" s="78" t="inlineStr">
        <is>
          <t>PSB ASSY</t>
        </is>
      </c>
      <c r="C10" s="78" t="inlineStr">
        <is>
          <t>91YAF03404AAA</t>
        </is>
      </c>
      <c r="D10" s="78" t="inlineStr">
        <is>
          <t>R5B PSB SUB ASSEMBLY 4P-4FP</t>
        </is>
      </c>
      <c r="E10" s="79" t="n">
        <v>3</v>
      </c>
      <c r="F10" s="79" t="n">
        <v>39</v>
      </c>
      <c r="G10" s="80" t="n">
        <v>46276</v>
      </c>
      <c r="H10" s="78" t="inlineStr">
        <is>
          <t>Migrated from previous workbook</t>
        </is>
      </c>
      <c r="I10" s="78" t="inlineStr">
        <is>
          <t>Previous workbook Release Log (182 lines from COOIS new_e2a, 03-Oct-26)</t>
        </is>
      </c>
      <c r="J10" s="79" t="n"/>
      <c r="K10"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0"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1">
      <c r="A11" s="78" t="inlineStr">
        <is>
          <t>E2A-R12P-T5-C</t>
        </is>
      </c>
      <c r="B11" s="78" t="inlineStr">
        <is>
          <t>OPF ASSY</t>
        </is>
      </c>
      <c r="C11" s="78" t="inlineStr">
        <is>
          <t>92YFD04548BAA</t>
        </is>
      </c>
      <c r="D11" s="78" t="inlineStr">
        <is>
          <t>R5B OPF ASSEMBLY (4P-4FP) BOAT 1 - E2A</t>
        </is>
      </c>
      <c r="E11" s="79" t="n">
        <v>1</v>
      </c>
      <c r="F11" s="79" t="n">
        <v>13</v>
      </c>
      <c r="G11" s="80" t="n">
        <v>46297</v>
      </c>
      <c r="H11" s="78" t="inlineStr">
        <is>
          <t>Migrated from previous workbook</t>
        </is>
      </c>
      <c r="I11" s="78" t="inlineStr">
        <is>
          <t>Previous workbook Release Log (182 lines from COOIS new_e2a, 03-Oct-26)</t>
        </is>
      </c>
      <c r="J11" s="79" t="n"/>
      <c r="K11"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1"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2">
      <c r="A12" s="78" t="inlineStr">
        <is>
          <t>E2A-R12P-T5-C</t>
        </is>
      </c>
      <c r="B12" s="78" t="inlineStr">
        <is>
          <t>OPF ASSY</t>
        </is>
      </c>
      <c r="C12" s="78" t="inlineStr">
        <is>
          <t>92YFD04548BBA</t>
        </is>
      </c>
      <c r="D12" s="78" t="inlineStr">
        <is>
          <t>R5B OPF ASSEMBLY (4P-4FP) BOAT 2/3 - E2A</t>
        </is>
      </c>
      <c r="E12" s="79" t="n">
        <v>2</v>
      </c>
      <c r="F12" s="79" t="n">
        <v>26</v>
      </c>
      <c r="G12" s="80" t="n">
        <v>46297</v>
      </c>
      <c r="H12" s="78" t="inlineStr">
        <is>
          <t>Migrated from previous workbook</t>
        </is>
      </c>
      <c r="I12" s="78" t="inlineStr">
        <is>
          <t>Previous workbook Release Log (182 lines from COOIS new_e2a, 03-Oct-26)</t>
        </is>
      </c>
      <c r="J12" s="79" t="n"/>
      <c r="K12"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2"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3">
      <c r="A13" s="78" t="inlineStr">
        <is>
          <t>E2A-R12P-T5-C</t>
        </is>
      </c>
      <c r="B13" s="78" t="inlineStr">
        <is>
          <t>POB ASSY</t>
        </is>
      </c>
      <c r="C13" s="78" t="inlineStr">
        <is>
          <t>92YWS04548AAA</t>
        </is>
      </c>
      <c r="D13" s="78" t="inlineStr">
        <is>
          <t>R5B 4FP POB LUMENTUM SUB ASSEMBLY - E2A</t>
        </is>
      </c>
      <c r="E13" s="79" t="n">
        <v>3</v>
      </c>
      <c r="F13" s="79" t="n">
        <v>39</v>
      </c>
      <c r="G13" s="80" t="n">
        <v>46297</v>
      </c>
      <c r="H13" s="78" t="inlineStr">
        <is>
          <t>Migrated from previous workbook</t>
        </is>
      </c>
      <c r="I13" s="78" t="inlineStr">
        <is>
          <t>Previous workbook Release Log (182 lines from COOIS new_e2a, 03-Oct-26)</t>
        </is>
      </c>
      <c r="J13" s="79" t="n"/>
      <c r="K13"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3"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4">
      <c r="A14" s="78" t="inlineStr">
        <is>
          <t>E2A-R12P-T5-C</t>
        </is>
      </c>
      <c r="B14" s="78" t="inlineStr">
        <is>
          <t>ERBIUM ASSY</t>
        </is>
      </c>
      <c r="C14" s="78" t="inlineStr">
        <is>
          <t>92RRA00548AAA</t>
        </is>
      </c>
      <c r="D14" s="78" t="inlineStr">
        <is>
          <t>R5B ERBIUM SPOOL ASSEMBLY - E2A</t>
        </is>
      </c>
      <c r="E14" s="79" t="n">
        <v>24</v>
      </c>
      <c r="F14" s="79" t="n">
        <v>312</v>
      </c>
      <c r="G14" s="80" t="n">
        <v>46297</v>
      </c>
      <c r="H14" s="78" t="inlineStr">
        <is>
          <t>Migrated from previous workbook</t>
        </is>
      </c>
      <c r="I14" s="78" t="inlineStr">
        <is>
          <t>Previous workbook Release Log (182 lines from COOIS new_e2a, 03-Oct-26)</t>
        </is>
      </c>
      <c r="J14" s="79" t="n"/>
      <c r="K14"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4"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5">
      <c r="A15" s="78" t="inlineStr">
        <is>
          <t>E2A-R12P-T5-C</t>
        </is>
      </c>
      <c r="B15" s="78" t="inlineStr">
        <is>
          <t>ERBIUM ASSY</t>
        </is>
      </c>
      <c r="C15" s="78" t="inlineStr">
        <is>
          <t>92YRA01548AAA</t>
        </is>
      </c>
      <c r="D15" s="78" t="inlineStr">
        <is>
          <t>R5B ERBIUM ASSEMBLY POSITION 1</t>
        </is>
      </c>
      <c r="E15" s="79" t="n">
        <v>3</v>
      </c>
      <c r="F15" s="79" t="n">
        <v>39</v>
      </c>
      <c r="G15" s="80" t="n">
        <v>46297</v>
      </c>
      <c r="H15" s="78" t="inlineStr">
        <is>
          <t>Migrated from previous workbook</t>
        </is>
      </c>
      <c r="I15" s="78" t="inlineStr">
        <is>
          <t>Previous workbook Release Log (182 lines from COOIS new_e2a, 03-Oct-26)</t>
        </is>
      </c>
      <c r="J15" s="79" t="n"/>
      <c r="K15"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5"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6">
      <c r="A16" s="78" t="inlineStr">
        <is>
          <t>E2A-R12P-T5-C</t>
        </is>
      </c>
      <c r="B16" s="78" t="inlineStr">
        <is>
          <t>ERBIUM ASSY</t>
        </is>
      </c>
      <c r="C16" s="78" t="inlineStr">
        <is>
          <t>92YRA02548AAA</t>
        </is>
      </c>
      <c r="D16" s="78" t="inlineStr">
        <is>
          <t>R5B ERBIUM ASSEMBLY POSITION 2</t>
        </is>
      </c>
      <c r="E16" s="79" t="n">
        <v>3</v>
      </c>
      <c r="F16" s="79" t="n">
        <v>39</v>
      </c>
      <c r="G16" s="80" t="n">
        <v>46297</v>
      </c>
      <c r="H16" s="78" t="inlineStr">
        <is>
          <t>Migrated from previous workbook</t>
        </is>
      </c>
      <c r="I16" s="78" t="inlineStr">
        <is>
          <t>Previous workbook Release Log (182 lines from COOIS new_e2a, 03-Oct-26)</t>
        </is>
      </c>
      <c r="J16" s="79" t="n"/>
      <c r="K16"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6"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7">
      <c r="A17" s="78" t="inlineStr">
        <is>
          <t>E2A-R12P-T5-C</t>
        </is>
      </c>
      <c r="B17" s="78" t="inlineStr">
        <is>
          <t>ERBIUM ASSY</t>
        </is>
      </c>
      <c r="C17" s="78" t="inlineStr">
        <is>
          <t>92YRA03548AAA</t>
        </is>
      </c>
      <c r="D17" s="78" t="inlineStr">
        <is>
          <t>R5B ERBIUM ASSEMBLY POSITION 3</t>
        </is>
      </c>
      <c r="E17" s="79" t="n">
        <v>3</v>
      </c>
      <c r="F17" s="79" t="n">
        <v>39</v>
      </c>
      <c r="G17" s="80" t="n">
        <v>46297</v>
      </c>
      <c r="H17" s="78" t="inlineStr">
        <is>
          <t>Migrated from previous workbook</t>
        </is>
      </c>
      <c r="I17" s="78" t="inlineStr">
        <is>
          <t>Previous workbook Release Log (182 lines from COOIS new_e2a, 03-Oct-26)</t>
        </is>
      </c>
      <c r="J17" s="79" t="n"/>
      <c r="K17"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7"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8">
      <c r="A18" s="78" t="inlineStr">
        <is>
          <t>E2A-R12P-T5-C</t>
        </is>
      </c>
      <c r="B18" s="78" t="inlineStr">
        <is>
          <t>ERBIUM ASSY</t>
        </is>
      </c>
      <c r="C18" s="78" t="inlineStr">
        <is>
          <t>92YRA04548AAA</t>
        </is>
      </c>
      <c r="D18" s="78" t="inlineStr">
        <is>
          <t>R5B ERBIUM ASSEMBLY POSITION 4</t>
        </is>
      </c>
      <c r="E18" s="79" t="n">
        <v>3</v>
      </c>
      <c r="F18" s="79" t="n">
        <v>39</v>
      </c>
      <c r="G18" s="80" t="n">
        <v>46297</v>
      </c>
      <c r="H18" s="78" t="inlineStr">
        <is>
          <t>Migrated from previous workbook</t>
        </is>
      </c>
      <c r="I18" s="78" t="inlineStr">
        <is>
          <t>Previous workbook Release Log (182 lines from COOIS new_e2a, 03-Oct-26)</t>
        </is>
      </c>
      <c r="J18" s="79" t="n"/>
      <c r="K18"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8"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19">
      <c r="A19" s="78" t="inlineStr">
        <is>
          <t>E2A-R12P-T5-C</t>
        </is>
      </c>
      <c r="B19" s="78" t="inlineStr">
        <is>
          <t>BOAT ASSY</t>
        </is>
      </c>
      <c r="C19" s="78" t="inlineStr">
        <is>
          <t>92UAP04548BAA</t>
        </is>
      </c>
      <c r="D19" s="78" t="inlineStr">
        <is>
          <t>R5B BOAT 1 ASSY (4P-4FP)</t>
        </is>
      </c>
      <c r="E19" s="79" t="n">
        <v>1</v>
      </c>
      <c r="F19" s="79" t="n">
        <v>13</v>
      </c>
      <c r="G19" s="80" t="n">
        <v>46297</v>
      </c>
      <c r="H19" s="78" t="inlineStr">
        <is>
          <t>Migrated from previous workbook</t>
        </is>
      </c>
      <c r="I19" s="78" t="inlineStr">
        <is>
          <t>Previous workbook Release Log (182 lines from COOIS new_e2a, 03-Oct-26)</t>
        </is>
      </c>
      <c r="J19" s="79" t="n"/>
      <c r="K19"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19"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0">
      <c r="A20" s="78" t="inlineStr">
        <is>
          <t>E2A-R12P-T5-C</t>
        </is>
      </c>
      <c r="B20" s="78" t="inlineStr">
        <is>
          <t>BOAT ASSY</t>
        </is>
      </c>
      <c r="C20" s="78" t="inlineStr">
        <is>
          <t>92UAP04548BBA</t>
        </is>
      </c>
      <c r="D20" s="78" t="inlineStr">
        <is>
          <t>R5B BOAT 2 ASSY (4P-4FP)</t>
        </is>
      </c>
      <c r="E20" s="79" t="n">
        <v>1</v>
      </c>
      <c r="F20" s="79" t="n">
        <v>13</v>
      </c>
      <c r="G20" s="80" t="n">
        <v>46297</v>
      </c>
      <c r="H20" s="78" t="inlineStr">
        <is>
          <t>Migrated from previous workbook</t>
        </is>
      </c>
      <c r="I20" s="78" t="inlineStr">
        <is>
          <t>Previous workbook Release Log (182 lines from COOIS new_e2a, 03-Oct-26)</t>
        </is>
      </c>
      <c r="J20" s="79" t="n"/>
      <c r="K20"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0"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1">
      <c r="A21" s="78" t="inlineStr">
        <is>
          <t>E2A-R12P-T5-C</t>
        </is>
      </c>
      <c r="B21" s="78" t="inlineStr">
        <is>
          <t>BOAT ASSY</t>
        </is>
      </c>
      <c r="C21" s="78" t="inlineStr">
        <is>
          <t>92UAP04548BCA</t>
        </is>
      </c>
      <c r="D21" s="78" t="inlineStr">
        <is>
          <t>R5B BOAT 3 ASSY (4P-4FP)</t>
        </is>
      </c>
      <c r="E21" s="79" t="n">
        <v>1</v>
      </c>
      <c r="F21" s="79" t="n">
        <v>13</v>
      </c>
      <c r="G21" s="80" t="n">
        <v>46297</v>
      </c>
      <c r="H21" s="78" t="inlineStr">
        <is>
          <t>Migrated from previous workbook</t>
        </is>
      </c>
      <c r="I21" s="78" t="inlineStr">
        <is>
          <t>Previous workbook Release Log (182 lines from COOIS new_e2a, 03-Oct-26)</t>
        </is>
      </c>
      <c r="J21" s="79" t="n"/>
      <c r="K21"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1"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2">
      <c r="A22" s="78" t="inlineStr">
        <is>
          <t>WKE-R24P-T1-C</t>
        </is>
      </c>
      <c r="B22" s="78" t="inlineStr">
        <is>
          <t>LASER ASSY</t>
        </is>
      </c>
      <c r="C22" s="78" t="inlineStr">
        <is>
          <t>92YLS00543AAA</t>
        </is>
      </c>
      <c r="D22" s="78" t="inlineStr">
        <is>
          <t>R5B LASER ASSEMBLY 4P-4P BOAT 1 - WKE</t>
        </is>
      </c>
      <c r="E22" s="79" t="n">
        <v>1</v>
      </c>
      <c r="F22" s="79" t="n">
        <v>0</v>
      </c>
      <c r="G22" s="80" t="n"/>
      <c r="H22" s="79" t="n"/>
      <c r="I22" s="78" t="inlineStr">
        <is>
          <t>Previous workbook: no releases recorded</t>
        </is>
      </c>
      <c r="J22" s="79" t="n"/>
      <c r="K22"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2"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3">
      <c r="A23" s="78" t="inlineStr">
        <is>
          <t>WKE-R24P-T1-C</t>
        </is>
      </c>
      <c r="B23" s="78" t="inlineStr">
        <is>
          <t>LASER ASSY</t>
        </is>
      </c>
      <c r="C23" s="78" t="inlineStr">
        <is>
          <t>92YLS00543ABA</t>
        </is>
      </c>
      <c r="D23" s="78" t="inlineStr">
        <is>
          <t>R5B LASER ASSEMBLY 4P-4P BOAT 2 - WKE</t>
        </is>
      </c>
      <c r="E23" s="79" t="n">
        <v>1</v>
      </c>
      <c r="F23" s="79" t="n">
        <v>0</v>
      </c>
      <c r="G23" s="80" t="n"/>
      <c r="H23" s="79" t="n"/>
      <c r="I23" s="78" t="inlineStr">
        <is>
          <t>Previous workbook: no releases recorded</t>
        </is>
      </c>
      <c r="J23" s="79" t="n"/>
      <c r="K23"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3"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4">
      <c r="A24" s="78" t="inlineStr">
        <is>
          <t>WKE-R24P-T1-C</t>
        </is>
      </c>
      <c r="B24" s="78" t="inlineStr">
        <is>
          <t>LASER ASSY</t>
        </is>
      </c>
      <c r="C24" s="78" t="inlineStr">
        <is>
          <t>92YLS00543ACA</t>
        </is>
      </c>
      <c r="D24" s="78" t="inlineStr">
        <is>
          <t>R5B LASER ASSEMBLY 4P-4P BOAT 3 - WKE</t>
        </is>
      </c>
      <c r="E24" s="79" t="n">
        <v>1</v>
      </c>
      <c r="F24" s="79" t="n">
        <v>0</v>
      </c>
      <c r="G24" s="80" t="n"/>
      <c r="H24" s="79" t="n"/>
      <c r="I24" s="78" t="inlineStr">
        <is>
          <t>Previous workbook: no releases recorded</t>
        </is>
      </c>
      <c r="J24" s="79" t="n"/>
      <c r="K24"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4"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5">
      <c r="A25" s="78" t="inlineStr">
        <is>
          <t>WKE-R24P-T1-C</t>
        </is>
      </c>
      <c r="B25" s="78" t="inlineStr">
        <is>
          <t>PSB ASSY</t>
        </is>
      </c>
      <c r="C25" s="78" t="inlineStr">
        <is>
          <t>91YAF03404AAA</t>
        </is>
      </c>
      <c r="D25" s="78" t="inlineStr">
        <is>
          <t>R5B PSB SUB ASSEMBLY 4P-4FP</t>
        </is>
      </c>
      <c r="E25" s="79" t="n">
        <v>6</v>
      </c>
      <c r="F25" s="79" t="n">
        <v>0</v>
      </c>
      <c r="G25" s="80" t="n"/>
      <c r="H25" s="79" t="n"/>
      <c r="I25" s="78" t="inlineStr">
        <is>
          <t>Previous workbook: no releases recorded</t>
        </is>
      </c>
      <c r="J25" s="79" t="n"/>
      <c r="K25"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5"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6">
      <c r="A26" s="78" t="inlineStr">
        <is>
          <t>WKE-R24P-T1-C</t>
        </is>
      </c>
      <c r="B26" s="78" t="inlineStr">
        <is>
          <t>OPF ASSY</t>
        </is>
      </c>
      <c r="C26" s="78" t="inlineStr">
        <is>
          <t>92YFD44543AAA</t>
        </is>
      </c>
      <c r="D26" s="78" t="inlineStr">
        <is>
          <t>R5B OPF ASSEMBLY 2X(4P-4FP) BOAT 1 - WKE</t>
        </is>
      </c>
      <c r="E26" s="79" t="n">
        <v>1</v>
      </c>
      <c r="F26" s="79" t="n">
        <v>0</v>
      </c>
      <c r="G26" s="80" t="n"/>
      <c r="H26" s="79" t="n"/>
      <c r="I26" s="78" t="inlineStr">
        <is>
          <t>Previous workbook: no releases recorded</t>
        </is>
      </c>
      <c r="J26" s="79" t="n"/>
      <c r="K26"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6"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7">
      <c r="A27" s="78" t="inlineStr">
        <is>
          <t>WKE-R24P-T1-C</t>
        </is>
      </c>
      <c r="B27" s="78" t="inlineStr">
        <is>
          <t>OPF ASSY</t>
        </is>
      </c>
      <c r="C27" s="78" t="inlineStr">
        <is>
          <t>92YFD44543ABA</t>
        </is>
      </c>
      <c r="D27" s="78" t="inlineStr">
        <is>
          <t>R5B OPF ASSEMBLY 2X(4P-4FP) BOAT 2 - WKE</t>
        </is>
      </c>
      <c r="E27" s="79" t="n">
        <v>1</v>
      </c>
      <c r="F27" s="79" t="n">
        <v>0</v>
      </c>
      <c r="G27" s="80" t="n"/>
      <c r="H27" s="79" t="n"/>
      <c r="I27" s="78" t="inlineStr">
        <is>
          <t>Previous workbook: no releases recorded</t>
        </is>
      </c>
      <c r="J27" s="79" t="n"/>
      <c r="K27"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7"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8">
      <c r="A28" s="78" t="inlineStr">
        <is>
          <t>WKE-R24P-T1-C</t>
        </is>
      </c>
      <c r="B28" s="78" t="inlineStr">
        <is>
          <t>OPF ASSY</t>
        </is>
      </c>
      <c r="C28" s="78" t="inlineStr">
        <is>
          <t>92YFD44543ACA</t>
        </is>
      </c>
      <c r="D28" s="78" t="inlineStr">
        <is>
          <t>R5B OPF ASSEMBLY 2X(4P-4FP) BOAT 3 - WKE</t>
        </is>
      </c>
      <c r="E28" s="79" t="n">
        <v>1</v>
      </c>
      <c r="F28" s="79" t="n">
        <v>0</v>
      </c>
      <c r="G28" s="80" t="n"/>
      <c r="H28" s="79" t="n"/>
      <c r="I28" s="78" t="inlineStr">
        <is>
          <t>Previous workbook: no releases recorded</t>
        </is>
      </c>
      <c r="J28" s="79" t="n"/>
      <c r="K28"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8"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29">
      <c r="A29" s="78" t="inlineStr">
        <is>
          <t>WKE-R24P-T1-C</t>
        </is>
      </c>
      <c r="B29" s="78" t="inlineStr">
        <is>
          <t>POB ASSY</t>
        </is>
      </c>
      <c r="C29" s="78" t="inlineStr">
        <is>
          <t>92YWS04543AAA</t>
        </is>
      </c>
      <c r="D29" s="78" t="inlineStr">
        <is>
          <t>R5B 4FP POB LUMENTUM SUB ASSEMBLY - WKE</t>
        </is>
      </c>
      <c r="E29" s="79" t="n">
        <v>6</v>
      </c>
      <c r="F29" s="79" t="n">
        <v>0</v>
      </c>
      <c r="G29" s="80" t="n"/>
      <c r="H29" s="79" t="n"/>
      <c r="I29" s="78" t="inlineStr">
        <is>
          <t>Previous workbook: no releases recorded</t>
        </is>
      </c>
      <c r="J29" s="79" t="n"/>
      <c r="K29"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29"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0">
      <c r="A30" s="78" t="inlineStr">
        <is>
          <t>WKE-R24P-T1-C</t>
        </is>
      </c>
      <c r="B30" s="78" t="inlineStr">
        <is>
          <t>ERBIUM ASSY</t>
        </is>
      </c>
      <c r="C30" s="78" t="inlineStr">
        <is>
          <t>92YRA01543AAA</t>
        </is>
      </c>
      <c r="D30" s="78" t="inlineStr">
        <is>
          <t>R5B ERBIUM ASSEMBLY 1 - WKE</t>
        </is>
      </c>
      <c r="E30" s="79" t="n">
        <v>6</v>
      </c>
      <c r="F30" s="79" t="n">
        <v>0</v>
      </c>
      <c r="G30" s="80" t="n"/>
      <c r="H30" s="79" t="n"/>
      <c r="I30" s="78" t="inlineStr">
        <is>
          <t>Previous workbook: no releases recorded</t>
        </is>
      </c>
      <c r="J30" s="79" t="n"/>
      <c r="K30"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0"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1">
      <c r="A31" s="78" t="inlineStr">
        <is>
          <t>WKE-R24P-T1-C</t>
        </is>
      </c>
      <c r="B31" s="78" t="inlineStr">
        <is>
          <t>ERBIUM ASSY</t>
        </is>
      </c>
      <c r="C31" s="78" t="inlineStr">
        <is>
          <t>92YRA02543AAA</t>
        </is>
      </c>
      <c r="D31" s="78" t="inlineStr">
        <is>
          <t>R5B ERBIUM ASSEMBLY 2 - WKE</t>
        </is>
      </c>
      <c r="E31" s="79" t="n">
        <v>6</v>
      </c>
      <c r="F31" s="79" t="n">
        <v>0</v>
      </c>
      <c r="G31" s="80" t="n"/>
      <c r="H31" s="79" t="n"/>
      <c r="I31" s="78" t="inlineStr">
        <is>
          <t>Previous workbook: no releases recorded</t>
        </is>
      </c>
      <c r="J31" s="79" t="n"/>
      <c r="K31"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1"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2">
      <c r="A32" s="78" t="inlineStr">
        <is>
          <t>WKE-R24P-T1-C</t>
        </is>
      </c>
      <c r="B32" s="78" t="inlineStr">
        <is>
          <t>ERBIUM ASSY</t>
        </is>
      </c>
      <c r="C32" s="78" t="inlineStr">
        <is>
          <t>92YRA03543AAA</t>
        </is>
      </c>
      <c r="D32" s="78" t="inlineStr">
        <is>
          <t>R5B ERBIUM ASSEMBLY 3 - WKE</t>
        </is>
      </c>
      <c r="E32" s="79" t="n">
        <v>6</v>
      </c>
      <c r="F32" s="79" t="n">
        <v>0</v>
      </c>
      <c r="G32" s="80" t="n"/>
      <c r="H32" s="79" t="n"/>
      <c r="I32" s="78" t="inlineStr">
        <is>
          <t>Previous workbook: no releases recorded</t>
        </is>
      </c>
      <c r="J32" s="79" t="n"/>
      <c r="K32"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2"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3">
      <c r="A33" s="78" t="inlineStr">
        <is>
          <t>WKE-R24P-T1-C</t>
        </is>
      </c>
      <c r="B33" s="78" t="inlineStr">
        <is>
          <t>ERBIUM ASSY</t>
        </is>
      </c>
      <c r="C33" s="78" t="inlineStr">
        <is>
          <t>92YRA04543AAA</t>
        </is>
      </c>
      <c r="D33" s="78" t="inlineStr">
        <is>
          <t>R5B ERBIUM ASSEMBLY 4 - WKE</t>
        </is>
      </c>
      <c r="E33" s="79" t="n">
        <v>6</v>
      </c>
      <c r="F33" s="79" t="n">
        <v>0</v>
      </c>
      <c r="G33" s="80" t="n"/>
      <c r="H33" s="79" t="n"/>
      <c r="I33" s="78" t="inlineStr">
        <is>
          <t>Previous workbook: no releases recorded</t>
        </is>
      </c>
      <c r="J33" s="79" t="n"/>
      <c r="K33"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3"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4">
      <c r="A34" s="78" t="inlineStr">
        <is>
          <t>WKE-R24P-T1-C</t>
        </is>
      </c>
      <c r="B34" s="78" t="inlineStr">
        <is>
          <t>ERBIUM ASSY</t>
        </is>
      </c>
      <c r="C34" s="78" t="inlineStr">
        <is>
          <t>92RRA00543AAA</t>
        </is>
      </c>
      <c r="D34" s="78" t="inlineStr">
        <is>
          <t>R5B ERBIUM SPOOL ASSEMBLY - WKE</t>
        </is>
      </c>
      <c r="E34" s="79" t="n">
        <v>48</v>
      </c>
      <c r="F34" s="79" t="n">
        <v>0</v>
      </c>
      <c r="G34" s="80" t="n"/>
      <c r="H34" s="79" t="n"/>
      <c r="I34" s="78" t="inlineStr">
        <is>
          <t>Previous workbook: no releases recorded</t>
        </is>
      </c>
      <c r="J34" s="79" t="n"/>
      <c r="K34"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4"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5">
      <c r="A35" s="78" t="inlineStr">
        <is>
          <t>WKE-R24P-T1-C</t>
        </is>
      </c>
      <c r="B35" s="78" t="inlineStr">
        <is>
          <t>BOAT ASSY</t>
        </is>
      </c>
      <c r="C35" s="78" t="inlineStr">
        <is>
          <t>92UAP44543AAA</t>
        </is>
      </c>
      <c r="D35" s="78" t="inlineStr">
        <is>
          <t>R5B BOAT 1 ASSY 2X(4P-4FP) L - WKE</t>
        </is>
      </c>
      <c r="E35" s="79" t="n">
        <v>1</v>
      </c>
      <c r="F35" s="79" t="n">
        <v>0</v>
      </c>
      <c r="G35" s="80" t="n"/>
      <c r="H35" s="79" t="n"/>
      <c r="I35" s="78" t="inlineStr">
        <is>
          <t>Previous workbook: no releases recorded</t>
        </is>
      </c>
      <c r="J35" s="79" t="n"/>
      <c r="K35"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5"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6">
      <c r="A36" s="78" t="inlineStr">
        <is>
          <t>WKE-R24P-T1-C</t>
        </is>
      </c>
      <c r="B36" s="78" t="inlineStr">
        <is>
          <t>BOAT ASSY</t>
        </is>
      </c>
      <c r="C36" s="78" t="inlineStr">
        <is>
          <t>92UAP44543ABA</t>
        </is>
      </c>
      <c r="D36" s="78" t="inlineStr">
        <is>
          <t>R5B BOAT 2 ASSY 2X(4P-4FP) L - WKE</t>
        </is>
      </c>
      <c r="E36" s="79" t="n">
        <v>1</v>
      </c>
      <c r="F36" s="79" t="n">
        <v>0</v>
      </c>
      <c r="G36" s="80" t="n"/>
      <c r="H36" s="79" t="n"/>
      <c r="I36" s="78" t="inlineStr">
        <is>
          <t>Previous workbook: no releases recorded</t>
        </is>
      </c>
      <c r="J36" s="79" t="n"/>
      <c r="K36"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6"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row r="37">
      <c r="A37" s="78" t="inlineStr">
        <is>
          <t>WKE-R24P-T1-C</t>
        </is>
      </c>
      <c r="B37" s="78" t="inlineStr">
        <is>
          <t>BOAT ASSY</t>
        </is>
      </c>
      <c r="C37" s="78" t="inlineStr">
        <is>
          <t>92UAP44543ACA</t>
        </is>
      </c>
      <c r="D37" s="78" t="inlineStr">
        <is>
          <t>R5B BOAT 3 ASSY 2X(4P-4FP) L - WKE</t>
        </is>
      </c>
      <c r="E37" s="79" t="n">
        <v>1</v>
      </c>
      <c r="F37" s="79" t="n">
        <v>0</v>
      </c>
      <c r="G37" s="80" t="n"/>
      <c r="H37" s="79" t="n"/>
      <c r="I37" s="78" t="inlineStr">
        <is>
          <t>Previous workbook: no releases recorded</t>
        </is>
      </c>
      <c r="J37" s="79" t="n"/>
      <c r="K37" s="81">
        <f>IF(AND(ISNUMBER(tblAssemblies[[#This Row],[Qty per repeater]]),tblAssemblies[[#This Row],[Qty per repeater]]&gt;0,tblAssemblies[[#This Row],[Qty per repeater]]=INT(tblAssemblies[[#This Row],[Qty per repeater]])),INT(IF(ISNUMBER(tblAssemblies[[#This Row],[Cumulative supplied to date]]),tblAssemblies[[#This Row],[Cumulative supplied to date]],0)/tblAssemblies[[#This Row],[Qty per repeater]]),"")</f>
        <v/>
      </c>
      <c r="L37" s="81">
        <f>IF(tblAssemblies[[#This Row],[Contract]]="","Missing contract",IF(COUNTIF(tblContracts[Contract ID],tblAssemblies[[#This Row],[Contract]])=0,"Unknown contract",IF(tblAssemblies[[#This Row],[Assembly code]]="","Missing assembly code",IF(COUNTIFS(tblAssemblies[Contract],tblAssemblies[[#This Row],[Contract]],tblAssemblies[Assembly code],tblAssemblies[[#This Row],[Assembly code]])&gt;1,"DUPLICATE contract + code",IF(NOT(AND(ISNUMBER(tblAssemblies[[#This Row],[Qty per repeater]]),tblAssemblies[[#This Row],[Qty per repeater]]&gt;0,tblAssemblies[[#This Row],[Qty per repeater]]=INT(tblAssemblies[[#This Row],[Qty per repeater]]))),"Qty per repeater missing or invalid",IF(tblAssemblies[[#This Row],[Cumulative supplied to date]]="","Supplied total missing",IF(OR(NOT(ISNUMBER(tblAssemblies[[#This Row],[Cumulative supplied to date]])),tblAssemblies[[#This Row],[Cumulative supplied to date]]&lt;0),"Supplied total invalid",IF(tblAssemblies[[#This Row],[Updated on]]="","Not yet updated","OK"))))))))</f>
        <v/>
      </c>
    </row>
  </sheetData>
  <mergeCells count="3">
    <mergeCell ref="A3:L3"/>
    <mergeCell ref="A2:L2"/>
    <mergeCell ref="A4:L4"/>
  </mergeCells>
  <conditionalFormatting sqref="L8:L5007">
    <cfRule type="expression" priority="1" dxfId="7">
      <formula>AND(L8&lt;&gt;"",L8&lt;&gt;"OK",L8&lt;&gt;"Not yet updated")</formula>
    </cfRule>
    <cfRule type="expression" priority="2" dxfId="8">
      <formula>L8="Not yet updated"</formula>
    </cfRule>
    <cfRule type="expression" priority="3" dxfId="18">
      <formula>L8="OK"</formula>
    </cfRule>
  </conditionalFormatting>
  <dataValidations count="4">
    <dataValidation sqref="A8:A5007" showDropDown="0" showInputMessage="0" showErrorMessage="1" allowBlank="1" errorTitle="Check entry" error="Pick a contract that exists on the Contracts sheet." type="list" errorStyle="stop">
      <formula1>ContractList</formula1>
    </dataValidation>
    <dataValidation sqref="E8:E5007" showDropDown="0" showInputMessage="0" showErrorMessage="1" allowBlank="1" errorTitle="Check entry" error="Qty per repeater must be a whole number above 0." type="whole" errorStyle="stop" operator="greaterThan">
      <formula1>0</formula1>
    </dataValidation>
    <dataValidation sqref="F8:F5007" showDropDown="0" showInputMessage="0" showErrorMessage="1" allowBlank="1" errorTitle="Check entry" error="Enter the cumulative total supplied to date (whole number, 0 or more)." type="whole" errorStyle="stop" operator="greaterThanOrEqual">
      <formula1>0</formula1>
    </dataValidation>
    <dataValidation sqref="G8:G5007" showDropDown="0" showInputMessage="0" showErrorMessage="1" allowBlank="1" errorTitle="Check entry" error="Enter a date, e.g. 05/10/2026." type="date" errorStyle="stop" operator="greaterThan">
      <formula1>43831</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52"/>
  <sheetViews>
    <sheetView showGridLines="0" workbookViewId="0">
      <pane ySplit="6" topLeftCell="A7" activePane="bottomLeft" state="frozen"/>
      <selection pane="bottomLeft" activeCell="A1" sqref="A1"/>
    </sheetView>
  </sheetViews>
  <sheetFormatPr baseColWidth="8" defaultRowHeight="15"/>
  <cols>
    <col width="22" customWidth="1" min="1" max="1"/>
    <col width="16" customWidth="1" min="2" max="2"/>
    <col width="12" customWidth="1" min="3" max="3"/>
    <col width="46" customWidth="1" min="4" max="4"/>
    <col width="12" customWidth="1" min="5" max="5"/>
    <col width="20" customWidth="1" min="6" max="6"/>
  </cols>
  <sheetData>
    <row r="1">
      <c r="A1" s="69" t="inlineStr">
        <is>
          <t>WEEKLY PLAN — FINAL BUILD / HOUSING WEEKS</t>
        </is>
      </c>
    </row>
    <row r="2" ht="30" customHeight="1">
      <c r="A2" s="83" t="inlineStr">
        <is>
          <t>Each row = repeaters planned for FINAL BUILD (housing) in the week starting on that Monday. Kit release and AMPS build weeks are calculated from the lead times on 'Contracts'.</t>
        </is>
      </c>
    </row>
    <row r="3" ht="30" customHeight="1">
      <c r="A3" s="84" t="inlineStr">
        <is>
          <t>Move: change the date · Split: change the qty and add a row · Cancel: delete the row (or set qty 0) · Replace a whole schedule: filter Contract, delete ALL its rows, then paste the new rows. Never leave old and new rows together. Record the new plan revision on 'Contracts'.</t>
        </is>
      </c>
    </row>
    <row r="5">
      <c r="A5" s="74" t="inlineStr">
        <is>
          <t>INPUT ▼</t>
        </is>
      </c>
      <c r="B5" s="74" t="inlineStr">
        <is>
          <t>INPUT ▼</t>
        </is>
      </c>
      <c r="C5" s="74" t="inlineStr">
        <is>
          <t>INPUT ▼</t>
        </is>
      </c>
      <c r="D5" s="74" t="inlineStr">
        <is>
          <t>INPUT ▼</t>
        </is>
      </c>
      <c r="E5" s="75" t="inlineStr">
        <is>
          <t>CALCULATED – do not type ▼</t>
        </is>
      </c>
      <c r="F5" s="75" t="inlineStr">
        <is>
          <t>CALCULATED – do not type ▼</t>
        </is>
      </c>
    </row>
    <row r="6" ht="30" customHeight="1">
      <c r="A6" s="76" t="inlineStr">
        <is>
          <t>Contract</t>
        </is>
      </c>
      <c r="B6" s="76" t="inlineStr">
        <is>
          <t>Final build week (Monday)</t>
        </is>
      </c>
      <c r="C6" s="76" t="inlineStr">
        <is>
          <t>Repeaters planned</t>
        </is>
      </c>
      <c r="D6" s="76" t="inlineStr">
        <is>
          <t>Note</t>
        </is>
      </c>
      <c r="E6" s="77" t="inlineStr">
        <is>
          <t>ISO week (calc)</t>
        </is>
      </c>
      <c r="F6" s="77" t="inlineStr">
        <is>
          <t>Check (calc)</t>
        </is>
      </c>
    </row>
    <row r="7">
      <c r="A7" s="78" t="inlineStr">
        <is>
          <t>WKE-R24P-T1-C</t>
        </is>
      </c>
      <c r="B7" s="85" t="n">
        <v>46321</v>
      </c>
      <c r="C7" s="79" t="n">
        <v>1</v>
      </c>
      <c r="D7" s="78" t="inlineStr">
        <is>
          <t>PLAN export 02-Sep-26</t>
        </is>
      </c>
      <c r="E7" s="81">
        <f>IF(ISNUMBER(tblPlan[[#This Row],[Final build week (Monday)]]),"W"&amp;TEXT(_xlfn.ISOWEEKNUM(tblPlan[[#This Row],[Final build week (Monday)]]),"00")&amp;"-"&amp;YEAR(tblPlan[[#This Row],[Final build week (Monday)]]-WEEKDAY(tblPlan[[#This Row],[Final build week (Monday)]],2)+4),"")</f>
        <v/>
      </c>
      <c r="F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
      <c r="A8" s="78" t="inlineStr">
        <is>
          <t>WKE-R24P-T1-C</t>
        </is>
      </c>
      <c r="B8" s="85" t="n">
        <v>46328</v>
      </c>
      <c r="C8" s="79" t="n">
        <v>1</v>
      </c>
      <c r="D8" s="78" t="inlineStr">
        <is>
          <t>PLAN export 02-Sep-26</t>
        </is>
      </c>
      <c r="E8" s="81">
        <f>IF(ISNUMBER(tblPlan[[#This Row],[Final build week (Monday)]]),"W"&amp;TEXT(_xlfn.ISOWEEKNUM(tblPlan[[#This Row],[Final build week (Monday)]]),"00")&amp;"-"&amp;YEAR(tblPlan[[#This Row],[Final build week (Monday)]]-WEEKDAY(tblPlan[[#This Row],[Final build week (Monday)]],2)+4),"")</f>
        <v/>
      </c>
      <c r="F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
      <c r="A9" s="78" t="inlineStr">
        <is>
          <t>WKE-R24P-T1-C</t>
        </is>
      </c>
      <c r="B9" s="85" t="n">
        <v>46335</v>
      </c>
      <c r="C9" s="79" t="n">
        <v>1</v>
      </c>
      <c r="D9" s="78" t="inlineStr">
        <is>
          <t>PLAN export 02-Sep-26</t>
        </is>
      </c>
      <c r="E9" s="81">
        <f>IF(ISNUMBER(tblPlan[[#This Row],[Final build week (Monday)]]),"W"&amp;TEXT(_xlfn.ISOWEEKNUM(tblPlan[[#This Row],[Final build week (Monday)]]),"00")&amp;"-"&amp;YEAR(tblPlan[[#This Row],[Final build week (Monday)]]-WEEKDAY(tblPlan[[#This Row],[Final build week (Monday)]],2)+4),"")</f>
        <v/>
      </c>
      <c r="F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
      <c r="A10" s="78" t="inlineStr">
        <is>
          <t>WKE-R24P-T1-C</t>
        </is>
      </c>
      <c r="B10" s="85" t="n">
        <v>46342</v>
      </c>
      <c r="C10" s="79" t="n">
        <v>1</v>
      </c>
      <c r="D10" s="78" t="inlineStr">
        <is>
          <t>PLAN export 02-Sep-26</t>
        </is>
      </c>
      <c r="E10" s="81">
        <f>IF(ISNUMBER(tblPlan[[#This Row],[Final build week (Monday)]]),"W"&amp;TEXT(_xlfn.ISOWEEKNUM(tblPlan[[#This Row],[Final build week (Monday)]]),"00")&amp;"-"&amp;YEAR(tblPlan[[#This Row],[Final build week (Monday)]]-WEEKDAY(tblPlan[[#This Row],[Final build week (Monday)]],2)+4),"")</f>
        <v/>
      </c>
      <c r="F1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
      <c r="A11" s="78" t="inlineStr">
        <is>
          <t>WKE-R24P-T1-C</t>
        </is>
      </c>
      <c r="B11" s="85" t="n">
        <v>46349</v>
      </c>
      <c r="C11" s="79" t="n">
        <v>2</v>
      </c>
      <c r="D11" s="78" t="inlineStr">
        <is>
          <t>PLAN export 02-Sep-26</t>
        </is>
      </c>
      <c r="E11" s="81">
        <f>IF(ISNUMBER(tblPlan[[#This Row],[Final build week (Monday)]]),"W"&amp;TEXT(_xlfn.ISOWEEKNUM(tblPlan[[#This Row],[Final build week (Monday)]]),"00")&amp;"-"&amp;YEAR(tblPlan[[#This Row],[Final build week (Monday)]]-WEEKDAY(tblPlan[[#This Row],[Final build week (Monday)]],2)+4),"")</f>
        <v/>
      </c>
      <c r="F1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
      <c r="A12" s="78" t="inlineStr">
        <is>
          <t>WKE-R24P-T1-C</t>
        </is>
      </c>
      <c r="B12" s="85" t="n">
        <v>46356</v>
      </c>
      <c r="C12" s="79" t="n">
        <v>1</v>
      </c>
      <c r="D12" s="78" t="inlineStr">
        <is>
          <t>PLAN export 02-Sep-26</t>
        </is>
      </c>
      <c r="E12" s="81">
        <f>IF(ISNUMBER(tblPlan[[#This Row],[Final build week (Monday)]]),"W"&amp;TEXT(_xlfn.ISOWEEKNUM(tblPlan[[#This Row],[Final build week (Monday)]]),"00")&amp;"-"&amp;YEAR(tblPlan[[#This Row],[Final build week (Monday)]]-WEEKDAY(tblPlan[[#This Row],[Final build week (Monday)]],2)+4),"")</f>
        <v/>
      </c>
      <c r="F1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
      <c r="A13" s="78" t="inlineStr">
        <is>
          <t>WKE-R24P-T1-C</t>
        </is>
      </c>
      <c r="B13" s="85" t="n">
        <v>46412</v>
      </c>
      <c r="C13" s="79" t="n">
        <v>1</v>
      </c>
      <c r="D13" s="78" t="inlineStr">
        <is>
          <t>PLAN export 02-Sep-26</t>
        </is>
      </c>
      <c r="E13" s="81">
        <f>IF(ISNUMBER(tblPlan[[#This Row],[Final build week (Monday)]]),"W"&amp;TEXT(_xlfn.ISOWEEKNUM(tblPlan[[#This Row],[Final build week (Monday)]]),"00")&amp;"-"&amp;YEAR(tblPlan[[#This Row],[Final build week (Monday)]]-WEEKDAY(tblPlan[[#This Row],[Final build week (Monday)]],2)+4),"")</f>
        <v/>
      </c>
      <c r="F1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
      <c r="A14" s="78" t="inlineStr">
        <is>
          <t>WKE-R24P-T1-C</t>
        </is>
      </c>
      <c r="B14" s="85" t="n">
        <v>46419</v>
      </c>
      <c r="C14" s="79" t="n">
        <v>4</v>
      </c>
      <c r="D14" s="78" t="inlineStr">
        <is>
          <t>PLAN export 02-Sep-26</t>
        </is>
      </c>
      <c r="E14" s="81">
        <f>IF(ISNUMBER(tblPlan[[#This Row],[Final build week (Monday)]]),"W"&amp;TEXT(_xlfn.ISOWEEKNUM(tblPlan[[#This Row],[Final build week (Monday)]]),"00")&amp;"-"&amp;YEAR(tblPlan[[#This Row],[Final build week (Monday)]]-WEEKDAY(tblPlan[[#This Row],[Final build week (Monday)]],2)+4),"")</f>
        <v/>
      </c>
      <c r="F1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5">
      <c r="A15" s="78" t="inlineStr">
        <is>
          <t>WKE-R24P-T1-C</t>
        </is>
      </c>
      <c r="B15" s="85" t="n">
        <v>46426</v>
      </c>
      <c r="C15" s="79" t="n">
        <v>3</v>
      </c>
      <c r="D15" s="78" t="inlineStr">
        <is>
          <t>PLAN export 02-Sep-26</t>
        </is>
      </c>
      <c r="E15" s="81">
        <f>IF(ISNUMBER(tblPlan[[#This Row],[Final build week (Monday)]]),"W"&amp;TEXT(_xlfn.ISOWEEKNUM(tblPlan[[#This Row],[Final build week (Monday)]]),"00")&amp;"-"&amp;YEAR(tblPlan[[#This Row],[Final build week (Monday)]]-WEEKDAY(tblPlan[[#This Row],[Final build week (Monday)]],2)+4),"")</f>
        <v/>
      </c>
      <c r="F1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6">
      <c r="A16" s="78" t="inlineStr">
        <is>
          <t>WKE-R24P-T1-C</t>
        </is>
      </c>
      <c r="B16" s="85" t="n">
        <v>46433</v>
      </c>
      <c r="C16" s="79" t="n">
        <v>4</v>
      </c>
      <c r="D16" s="78" t="inlineStr">
        <is>
          <t>PLAN export 02-Sep-26</t>
        </is>
      </c>
      <c r="E16" s="81">
        <f>IF(ISNUMBER(tblPlan[[#This Row],[Final build week (Monday)]]),"W"&amp;TEXT(_xlfn.ISOWEEKNUM(tblPlan[[#This Row],[Final build week (Monday)]]),"00")&amp;"-"&amp;YEAR(tblPlan[[#This Row],[Final build week (Monday)]]-WEEKDAY(tblPlan[[#This Row],[Final build week (Monday)]],2)+4),"")</f>
        <v/>
      </c>
      <c r="F1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7">
      <c r="A17" s="78" t="inlineStr">
        <is>
          <t>WKE-R24P-T1-C</t>
        </is>
      </c>
      <c r="B17" s="85" t="n">
        <v>46440</v>
      </c>
      <c r="C17" s="79" t="n">
        <v>4</v>
      </c>
      <c r="D17" s="78" t="inlineStr">
        <is>
          <t>PLAN export 02-Sep-26</t>
        </is>
      </c>
      <c r="E17" s="81">
        <f>IF(ISNUMBER(tblPlan[[#This Row],[Final build week (Monday)]]),"W"&amp;TEXT(_xlfn.ISOWEEKNUM(tblPlan[[#This Row],[Final build week (Monday)]]),"00")&amp;"-"&amp;YEAR(tblPlan[[#This Row],[Final build week (Monday)]]-WEEKDAY(tblPlan[[#This Row],[Final build week (Monday)]],2)+4),"")</f>
        <v/>
      </c>
      <c r="F1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8">
      <c r="A18" s="78" t="inlineStr">
        <is>
          <t>WKE-R24P-T1-C</t>
        </is>
      </c>
      <c r="B18" s="85" t="n">
        <v>46447</v>
      </c>
      <c r="C18" s="79" t="n">
        <v>4</v>
      </c>
      <c r="D18" s="78" t="inlineStr">
        <is>
          <t>PLAN export 02-Sep-26</t>
        </is>
      </c>
      <c r="E18" s="81">
        <f>IF(ISNUMBER(tblPlan[[#This Row],[Final build week (Monday)]]),"W"&amp;TEXT(_xlfn.ISOWEEKNUM(tblPlan[[#This Row],[Final build week (Monday)]]),"00")&amp;"-"&amp;YEAR(tblPlan[[#This Row],[Final build week (Monday)]]-WEEKDAY(tblPlan[[#This Row],[Final build week (Monday)]],2)+4),"")</f>
        <v/>
      </c>
      <c r="F1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9">
      <c r="A19" s="78" t="inlineStr">
        <is>
          <t>WKE-R24P-T1-C</t>
        </is>
      </c>
      <c r="B19" s="85" t="n">
        <v>46454</v>
      </c>
      <c r="C19" s="79" t="n">
        <v>5</v>
      </c>
      <c r="D19" s="78" t="inlineStr">
        <is>
          <t>PLAN export 02-Sep-26</t>
        </is>
      </c>
      <c r="E19" s="81">
        <f>IF(ISNUMBER(tblPlan[[#This Row],[Final build week (Monday)]]),"W"&amp;TEXT(_xlfn.ISOWEEKNUM(tblPlan[[#This Row],[Final build week (Monday)]]),"00")&amp;"-"&amp;YEAR(tblPlan[[#This Row],[Final build week (Monday)]]-WEEKDAY(tblPlan[[#This Row],[Final build week (Monday)]],2)+4),"")</f>
        <v/>
      </c>
      <c r="F1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0">
      <c r="A20" s="78" t="inlineStr">
        <is>
          <t>WKE-R24P-T1-C</t>
        </is>
      </c>
      <c r="B20" s="85" t="n">
        <v>46461</v>
      </c>
      <c r="C20" s="79" t="n">
        <v>4</v>
      </c>
      <c r="D20" s="78" t="inlineStr">
        <is>
          <t>PLAN export 02-Sep-26</t>
        </is>
      </c>
      <c r="E20" s="81">
        <f>IF(ISNUMBER(tblPlan[[#This Row],[Final build week (Monday)]]),"W"&amp;TEXT(_xlfn.ISOWEEKNUM(tblPlan[[#This Row],[Final build week (Monday)]]),"00")&amp;"-"&amp;YEAR(tblPlan[[#This Row],[Final build week (Monday)]]-WEEKDAY(tblPlan[[#This Row],[Final build week (Monday)]],2)+4),"")</f>
        <v/>
      </c>
      <c r="F2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1">
      <c r="A21" s="78" t="inlineStr">
        <is>
          <t>WKE-R24P-T1-C</t>
        </is>
      </c>
      <c r="B21" s="85" t="n">
        <v>46468</v>
      </c>
      <c r="C21" s="79" t="n">
        <v>4</v>
      </c>
      <c r="D21" s="78" t="inlineStr">
        <is>
          <t>PLAN export 02-Sep-26</t>
        </is>
      </c>
      <c r="E21" s="81">
        <f>IF(ISNUMBER(tblPlan[[#This Row],[Final build week (Monday)]]),"W"&amp;TEXT(_xlfn.ISOWEEKNUM(tblPlan[[#This Row],[Final build week (Monday)]]),"00")&amp;"-"&amp;YEAR(tblPlan[[#This Row],[Final build week (Monday)]]-WEEKDAY(tblPlan[[#This Row],[Final build week (Monday)]],2)+4),"")</f>
        <v/>
      </c>
      <c r="F2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2">
      <c r="A22" s="78" t="inlineStr">
        <is>
          <t>WKE-R24P-T1-C</t>
        </is>
      </c>
      <c r="B22" s="85" t="n">
        <v>46475</v>
      </c>
      <c r="C22" s="79" t="n">
        <v>5</v>
      </c>
      <c r="D22" s="78" t="inlineStr">
        <is>
          <t>PLAN export 02-Sep-26</t>
        </is>
      </c>
      <c r="E22" s="81">
        <f>IF(ISNUMBER(tblPlan[[#This Row],[Final build week (Monday)]]),"W"&amp;TEXT(_xlfn.ISOWEEKNUM(tblPlan[[#This Row],[Final build week (Monday)]]),"00")&amp;"-"&amp;YEAR(tblPlan[[#This Row],[Final build week (Monday)]]-WEEKDAY(tblPlan[[#This Row],[Final build week (Monday)]],2)+4),"")</f>
        <v/>
      </c>
      <c r="F2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3">
      <c r="A23" s="78" t="inlineStr">
        <is>
          <t>WKE-R24P-T1-C</t>
        </is>
      </c>
      <c r="B23" s="85" t="n">
        <v>46482</v>
      </c>
      <c r="C23" s="79" t="n">
        <v>4</v>
      </c>
      <c r="D23" s="78" t="inlineStr">
        <is>
          <t>PLAN export 02-Sep-26</t>
        </is>
      </c>
      <c r="E23" s="81">
        <f>IF(ISNUMBER(tblPlan[[#This Row],[Final build week (Monday)]]),"W"&amp;TEXT(_xlfn.ISOWEEKNUM(tblPlan[[#This Row],[Final build week (Monday)]]),"00")&amp;"-"&amp;YEAR(tblPlan[[#This Row],[Final build week (Monday)]]-WEEKDAY(tblPlan[[#This Row],[Final build week (Monday)]],2)+4),"")</f>
        <v/>
      </c>
      <c r="F2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4">
      <c r="A24" s="78" t="inlineStr">
        <is>
          <t>WKE-R24P-T1-C</t>
        </is>
      </c>
      <c r="B24" s="85" t="n">
        <v>46489</v>
      </c>
      <c r="C24" s="79" t="n">
        <v>3</v>
      </c>
      <c r="D24" s="78" t="inlineStr">
        <is>
          <t>PLAN export 02-Sep-26</t>
        </is>
      </c>
      <c r="E24" s="81">
        <f>IF(ISNUMBER(tblPlan[[#This Row],[Final build week (Monday)]]),"W"&amp;TEXT(_xlfn.ISOWEEKNUM(tblPlan[[#This Row],[Final build week (Monday)]]),"00")&amp;"-"&amp;YEAR(tblPlan[[#This Row],[Final build week (Monday)]]-WEEKDAY(tblPlan[[#This Row],[Final build week (Monday)]],2)+4),"")</f>
        <v/>
      </c>
      <c r="F2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5">
      <c r="A25" s="78" t="inlineStr">
        <is>
          <t>WKE-R24P-T1-C</t>
        </is>
      </c>
      <c r="B25" s="85" t="n">
        <v>46496</v>
      </c>
      <c r="C25" s="79" t="n">
        <v>4</v>
      </c>
      <c r="D25" s="78" t="inlineStr">
        <is>
          <t>PLAN export 02-Sep-26</t>
        </is>
      </c>
      <c r="E25" s="81">
        <f>IF(ISNUMBER(tblPlan[[#This Row],[Final build week (Monday)]]),"W"&amp;TEXT(_xlfn.ISOWEEKNUM(tblPlan[[#This Row],[Final build week (Monday)]]),"00")&amp;"-"&amp;YEAR(tblPlan[[#This Row],[Final build week (Monday)]]-WEEKDAY(tblPlan[[#This Row],[Final build week (Monday)]],2)+4),"")</f>
        <v/>
      </c>
      <c r="F2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6">
      <c r="A26" s="78" t="inlineStr">
        <is>
          <t>WKE-R24P-T1-C</t>
        </is>
      </c>
      <c r="B26" s="85" t="n">
        <v>46503</v>
      </c>
      <c r="C26" s="79" t="n">
        <v>4</v>
      </c>
      <c r="D26" s="78" t="inlineStr">
        <is>
          <t>PLAN export 02-Sep-26</t>
        </is>
      </c>
      <c r="E26" s="81">
        <f>IF(ISNUMBER(tblPlan[[#This Row],[Final build week (Monday)]]),"W"&amp;TEXT(_xlfn.ISOWEEKNUM(tblPlan[[#This Row],[Final build week (Monday)]]),"00")&amp;"-"&amp;YEAR(tblPlan[[#This Row],[Final build week (Monday)]]-WEEKDAY(tblPlan[[#This Row],[Final build week (Monday)]],2)+4),"")</f>
        <v/>
      </c>
      <c r="F2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7">
      <c r="A27" s="78" t="inlineStr">
        <is>
          <t>WKE-R24P-T1-C</t>
        </is>
      </c>
      <c r="B27" s="85" t="n">
        <v>46510</v>
      </c>
      <c r="C27" s="79" t="n">
        <v>2</v>
      </c>
      <c r="D27" s="78" t="inlineStr">
        <is>
          <t>PLAN export 02-Sep-26</t>
        </is>
      </c>
      <c r="E27" s="81">
        <f>IF(ISNUMBER(tblPlan[[#This Row],[Final build week (Monday)]]),"W"&amp;TEXT(_xlfn.ISOWEEKNUM(tblPlan[[#This Row],[Final build week (Monday)]]),"00")&amp;"-"&amp;YEAR(tblPlan[[#This Row],[Final build week (Monday)]]-WEEKDAY(tblPlan[[#This Row],[Final build week (Monday)]],2)+4),"")</f>
        <v/>
      </c>
      <c r="F2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8">
      <c r="A28" s="78" t="inlineStr">
        <is>
          <t>WKE-R24P-T1-C</t>
        </is>
      </c>
      <c r="B28" s="85" t="n">
        <v>46517</v>
      </c>
      <c r="C28" s="79" t="n">
        <v>1</v>
      </c>
      <c r="D28" s="78" t="inlineStr">
        <is>
          <t>PLAN export 02-Sep-26</t>
        </is>
      </c>
      <c r="E28" s="81">
        <f>IF(ISNUMBER(tblPlan[[#This Row],[Final build week (Monday)]]),"W"&amp;TEXT(_xlfn.ISOWEEKNUM(tblPlan[[#This Row],[Final build week (Monday)]]),"00")&amp;"-"&amp;YEAR(tblPlan[[#This Row],[Final build week (Monday)]]-WEEKDAY(tblPlan[[#This Row],[Final build week (Monday)]],2)+4),"")</f>
        <v/>
      </c>
      <c r="F2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29">
      <c r="A29" s="78" t="inlineStr">
        <is>
          <t>WKE-R24P-T1-C</t>
        </is>
      </c>
      <c r="B29" s="85" t="n">
        <v>46566</v>
      </c>
      <c r="C29" s="79" t="n">
        <v>5</v>
      </c>
      <c r="D29" s="78" t="inlineStr">
        <is>
          <t>PLAN export 02-Sep-26</t>
        </is>
      </c>
      <c r="E29" s="81">
        <f>IF(ISNUMBER(tblPlan[[#This Row],[Final build week (Monday)]]),"W"&amp;TEXT(_xlfn.ISOWEEKNUM(tblPlan[[#This Row],[Final build week (Monday)]]),"00")&amp;"-"&amp;YEAR(tblPlan[[#This Row],[Final build week (Monday)]]-WEEKDAY(tblPlan[[#This Row],[Final build week (Monday)]],2)+4),"")</f>
        <v/>
      </c>
      <c r="F2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0">
      <c r="A30" s="78" t="inlineStr">
        <is>
          <t>WKE-R24P-T1-C</t>
        </is>
      </c>
      <c r="B30" s="85" t="n">
        <v>46573</v>
      </c>
      <c r="C30" s="79" t="n">
        <v>6</v>
      </c>
      <c r="D30" s="78" t="inlineStr">
        <is>
          <t>PLAN export 02-Sep-26</t>
        </is>
      </c>
      <c r="E30" s="81">
        <f>IF(ISNUMBER(tblPlan[[#This Row],[Final build week (Monday)]]),"W"&amp;TEXT(_xlfn.ISOWEEKNUM(tblPlan[[#This Row],[Final build week (Monday)]]),"00")&amp;"-"&amp;YEAR(tblPlan[[#This Row],[Final build week (Monday)]]-WEEKDAY(tblPlan[[#This Row],[Final build week (Monday)]],2)+4),"")</f>
        <v/>
      </c>
      <c r="F3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1">
      <c r="A31" s="78" t="inlineStr">
        <is>
          <t>WKE-R24P-T1-C</t>
        </is>
      </c>
      <c r="B31" s="85" t="n">
        <v>46580</v>
      </c>
      <c r="C31" s="79" t="n">
        <v>7</v>
      </c>
      <c r="D31" s="78" t="inlineStr">
        <is>
          <t>PLAN export 02-Sep-26</t>
        </is>
      </c>
      <c r="E31" s="81">
        <f>IF(ISNUMBER(tblPlan[[#This Row],[Final build week (Monday)]]),"W"&amp;TEXT(_xlfn.ISOWEEKNUM(tblPlan[[#This Row],[Final build week (Monday)]]),"00")&amp;"-"&amp;YEAR(tblPlan[[#This Row],[Final build week (Monday)]]-WEEKDAY(tblPlan[[#This Row],[Final build week (Monday)]],2)+4),"")</f>
        <v/>
      </c>
      <c r="F3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2">
      <c r="A32" s="78" t="inlineStr">
        <is>
          <t>WKE-R24P-T1-C</t>
        </is>
      </c>
      <c r="B32" s="85" t="n">
        <v>46587</v>
      </c>
      <c r="C32" s="79" t="n">
        <v>7</v>
      </c>
      <c r="D32" s="78" t="inlineStr">
        <is>
          <t>PLAN export 02-Sep-26</t>
        </is>
      </c>
      <c r="E32" s="81">
        <f>IF(ISNUMBER(tblPlan[[#This Row],[Final build week (Monday)]]),"W"&amp;TEXT(_xlfn.ISOWEEKNUM(tblPlan[[#This Row],[Final build week (Monday)]]),"00")&amp;"-"&amp;YEAR(tblPlan[[#This Row],[Final build week (Monday)]]-WEEKDAY(tblPlan[[#This Row],[Final build week (Monday)]],2)+4),"")</f>
        <v/>
      </c>
      <c r="F3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3">
      <c r="A33" s="78" t="inlineStr">
        <is>
          <t>WKE-R24P-T1-C</t>
        </is>
      </c>
      <c r="B33" s="85" t="n">
        <v>46594</v>
      </c>
      <c r="C33" s="79" t="n">
        <v>7</v>
      </c>
      <c r="D33" s="78" t="inlineStr">
        <is>
          <t>PLAN export 02-Sep-26</t>
        </is>
      </c>
      <c r="E33" s="81">
        <f>IF(ISNUMBER(tblPlan[[#This Row],[Final build week (Monday)]]),"W"&amp;TEXT(_xlfn.ISOWEEKNUM(tblPlan[[#This Row],[Final build week (Monday)]]),"00")&amp;"-"&amp;YEAR(tblPlan[[#This Row],[Final build week (Monday)]]-WEEKDAY(tblPlan[[#This Row],[Final build week (Monday)]],2)+4),"")</f>
        <v/>
      </c>
      <c r="F3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4">
      <c r="A34" s="78" t="inlineStr">
        <is>
          <t>WKE-R24P-T1-C</t>
        </is>
      </c>
      <c r="B34" s="85" t="n">
        <v>46601</v>
      </c>
      <c r="C34" s="79" t="n">
        <v>7</v>
      </c>
      <c r="D34" s="78" t="inlineStr">
        <is>
          <t>PLAN export 02-Sep-26</t>
        </is>
      </c>
      <c r="E34" s="81">
        <f>IF(ISNUMBER(tblPlan[[#This Row],[Final build week (Monday)]]),"W"&amp;TEXT(_xlfn.ISOWEEKNUM(tblPlan[[#This Row],[Final build week (Monday)]]),"00")&amp;"-"&amp;YEAR(tblPlan[[#This Row],[Final build week (Monday)]]-WEEKDAY(tblPlan[[#This Row],[Final build week (Monday)]],2)+4),"")</f>
        <v/>
      </c>
      <c r="F3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5">
      <c r="A35" s="78" t="inlineStr">
        <is>
          <t>WKE-R24P-T1-C</t>
        </is>
      </c>
      <c r="B35" s="85" t="n">
        <v>46608</v>
      </c>
      <c r="C35" s="79" t="n">
        <v>7</v>
      </c>
      <c r="D35" s="78" t="inlineStr">
        <is>
          <t>PLAN export 02-Sep-26</t>
        </is>
      </c>
      <c r="E35" s="81">
        <f>IF(ISNUMBER(tblPlan[[#This Row],[Final build week (Monday)]]),"W"&amp;TEXT(_xlfn.ISOWEEKNUM(tblPlan[[#This Row],[Final build week (Monday)]]),"00")&amp;"-"&amp;YEAR(tblPlan[[#This Row],[Final build week (Monday)]]-WEEKDAY(tblPlan[[#This Row],[Final build week (Monday)]],2)+4),"")</f>
        <v/>
      </c>
      <c r="F3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6">
      <c r="A36" s="78" t="inlineStr">
        <is>
          <t>WKE-R24P-T1-C</t>
        </is>
      </c>
      <c r="B36" s="85" t="n">
        <v>46615</v>
      </c>
      <c r="C36" s="79" t="n">
        <v>7</v>
      </c>
      <c r="D36" s="78" t="inlineStr">
        <is>
          <t>PLAN export 02-Sep-26</t>
        </is>
      </c>
      <c r="E36" s="81">
        <f>IF(ISNUMBER(tblPlan[[#This Row],[Final build week (Monday)]]),"W"&amp;TEXT(_xlfn.ISOWEEKNUM(tblPlan[[#This Row],[Final build week (Monday)]]),"00")&amp;"-"&amp;YEAR(tblPlan[[#This Row],[Final build week (Monday)]]-WEEKDAY(tblPlan[[#This Row],[Final build week (Monday)]],2)+4),"")</f>
        <v/>
      </c>
      <c r="F3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7">
      <c r="A37" s="78" t="inlineStr">
        <is>
          <t>WKE-R24P-T1-C</t>
        </is>
      </c>
      <c r="B37" s="85" t="n">
        <v>46622</v>
      </c>
      <c r="C37" s="79" t="n">
        <v>8</v>
      </c>
      <c r="D37" s="78" t="inlineStr">
        <is>
          <t>PLAN export 02-Sep-26</t>
        </is>
      </c>
      <c r="E37" s="81">
        <f>IF(ISNUMBER(tblPlan[[#This Row],[Final build week (Monday)]]),"W"&amp;TEXT(_xlfn.ISOWEEKNUM(tblPlan[[#This Row],[Final build week (Monday)]]),"00")&amp;"-"&amp;YEAR(tblPlan[[#This Row],[Final build week (Monday)]]-WEEKDAY(tblPlan[[#This Row],[Final build week (Monday)]],2)+4),"")</f>
        <v/>
      </c>
      <c r="F3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8">
      <c r="A38" s="78" t="inlineStr">
        <is>
          <t>WKE-R24P-T1-C</t>
        </is>
      </c>
      <c r="B38" s="85" t="n">
        <v>46629</v>
      </c>
      <c r="C38" s="79" t="n">
        <v>7</v>
      </c>
      <c r="D38" s="78" t="inlineStr">
        <is>
          <t>PLAN export 02-Sep-26</t>
        </is>
      </c>
      <c r="E38" s="81">
        <f>IF(ISNUMBER(tblPlan[[#This Row],[Final build week (Monday)]]),"W"&amp;TEXT(_xlfn.ISOWEEKNUM(tblPlan[[#This Row],[Final build week (Monday)]]),"00")&amp;"-"&amp;YEAR(tblPlan[[#This Row],[Final build week (Monday)]]-WEEKDAY(tblPlan[[#This Row],[Final build week (Monday)]],2)+4),"")</f>
        <v/>
      </c>
      <c r="F3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39">
      <c r="A39" s="78" t="inlineStr">
        <is>
          <t>WKE-R24P-T1-C</t>
        </is>
      </c>
      <c r="B39" s="85" t="n">
        <v>46636</v>
      </c>
      <c r="C39" s="79" t="n">
        <v>7</v>
      </c>
      <c r="D39" s="78" t="inlineStr">
        <is>
          <t>PLAN export 02-Sep-26</t>
        </is>
      </c>
      <c r="E39" s="81">
        <f>IF(ISNUMBER(tblPlan[[#This Row],[Final build week (Monday)]]),"W"&amp;TEXT(_xlfn.ISOWEEKNUM(tblPlan[[#This Row],[Final build week (Monday)]]),"00")&amp;"-"&amp;YEAR(tblPlan[[#This Row],[Final build week (Monday)]]-WEEKDAY(tblPlan[[#This Row],[Final build week (Monday)]],2)+4),"")</f>
        <v/>
      </c>
      <c r="F3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0">
      <c r="A40" s="78" t="inlineStr">
        <is>
          <t>WKE-R24P-T1-C</t>
        </is>
      </c>
      <c r="B40" s="85" t="n">
        <v>46643</v>
      </c>
      <c r="C40" s="79" t="n">
        <v>6</v>
      </c>
      <c r="D40" s="78" t="inlineStr">
        <is>
          <t>PLAN export 02-Sep-26</t>
        </is>
      </c>
      <c r="E40" s="81">
        <f>IF(ISNUMBER(tblPlan[[#This Row],[Final build week (Monday)]]),"W"&amp;TEXT(_xlfn.ISOWEEKNUM(tblPlan[[#This Row],[Final build week (Monday)]]),"00")&amp;"-"&amp;YEAR(tblPlan[[#This Row],[Final build week (Monday)]]-WEEKDAY(tblPlan[[#This Row],[Final build week (Monday)]],2)+4),"")</f>
        <v/>
      </c>
      <c r="F4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1">
      <c r="A41" s="78" t="inlineStr">
        <is>
          <t>WKE-R24P-T1-C</t>
        </is>
      </c>
      <c r="B41" s="85" t="n">
        <v>46650</v>
      </c>
      <c r="C41" s="79" t="n">
        <v>8</v>
      </c>
      <c r="D41" s="78" t="inlineStr">
        <is>
          <t>PLAN export 02-Sep-26</t>
        </is>
      </c>
      <c r="E41" s="81">
        <f>IF(ISNUMBER(tblPlan[[#This Row],[Final build week (Monday)]]),"W"&amp;TEXT(_xlfn.ISOWEEKNUM(tblPlan[[#This Row],[Final build week (Monday)]]),"00")&amp;"-"&amp;YEAR(tblPlan[[#This Row],[Final build week (Monday)]]-WEEKDAY(tblPlan[[#This Row],[Final build week (Monday)]],2)+4),"")</f>
        <v/>
      </c>
      <c r="F4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2">
      <c r="A42" s="78" t="inlineStr">
        <is>
          <t>WKE-R24P-T1-C</t>
        </is>
      </c>
      <c r="B42" s="85" t="n">
        <v>46657</v>
      </c>
      <c r="C42" s="79" t="n">
        <v>7</v>
      </c>
      <c r="D42" s="78" t="inlineStr">
        <is>
          <t>PLAN export 02-Sep-26</t>
        </is>
      </c>
      <c r="E42" s="81">
        <f>IF(ISNUMBER(tblPlan[[#This Row],[Final build week (Monday)]]),"W"&amp;TEXT(_xlfn.ISOWEEKNUM(tblPlan[[#This Row],[Final build week (Monday)]]),"00")&amp;"-"&amp;YEAR(tblPlan[[#This Row],[Final build week (Monday)]]-WEEKDAY(tblPlan[[#This Row],[Final build week (Monday)]],2)+4),"")</f>
        <v/>
      </c>
      <c r="F4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3">
      <c r="A43" s="78" t="inlineStr">
        <is>
          <t>WKE-R24P-T1-C</t>
        </is>
      </c>
      <c r="B43" s="85" t="n">
        <v>46664</v>
      </c>
      <c r="C43" s="79" t="n">
        <v>7</v>
      </c>
      <c r="D43" s="78" t="inlineStr">
        <is>
          <t>PLAN export 02-Sep-26</t>
        </is>
      </c>
      <c r="E43" s="81">
        <f>IF(ISNUMBER(tblPlan[[#This Row],[Final build week (Monday)]]),"W"&amp;TEXT(_xlfn.ISOWEEKNUM(tblPlan[[#This Row],[Final build week (Monday)]]),"00")&amp;"-"&amp;YEAR(tblPlan[[#This Row],[Final build week (Monday)]]-WEEKDAY(tblPlan[[#This Row],[Final build week (Monday)]],2)+4),"")</f>
        <v/>
      </c>
      <c r="F4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4">
      <c r="A44" s="78" t="inlineStr">
        <is>
          <t>WKE-R24P-T1-C</t>
        </is>
      </c>
      <c r="B44" s="85" t="n">
        <v>46671</v>
      </c>
      <c r="C44" s="79" t="n">
        <v>7</v>
      </c>
      <c r="D44" s="78" t="inlineStr">
        <is>
          <t>PLAN export 02-Sep-26</t>
        </is>
      </c>
      <c r="E44" s="81">
        <f>IF(ISNUMBER(tblPlan[[#This Row],[Final build week (Monday)]]),"W"&amp;TEXT(_xlfn.ISOWEEKNUM(tblPlan[[#This Row],[Final build week (Monday)]]),"00")&amp;"-"&amp;YEAR(tblPlan[[#This Row],[Final build week (Monday)]]-WEEKDAY(tblPlan[[#This Row],[Final build week (Monday)]],2)+4),"")</f>
        <v/>
      </c>
      <c r="F4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5">
      <c r="A45" s="78" t="inlineStr">
        <is>
          <t>WKE-R24P-T1-C</t>
        </is>
      </c>
      <c r="B45" s="85" t="n">
        <v>46678</v>
      </c>
      <c r="C45" s="79" t="n">
        <v>5</v>
      </c>
      <c r="D45" s="78" t="inlineStr">
        <is>
          <t>PLAN export 02-Sep-26</t>
        </is>
      </c>
      <c r="E45" s="81">
        <f>IF(ISNUMBER(tblPlan[[#This Row],[Final build week (Monday)]]),"W"&amp;TEXT(_xlfn.ISOWEEKNUM(tblPlan[[#This Row],[Final build week (Monday)]]),"00")&amp;"-"&amp;YEAR(tblPlan[[#This Row],[Final build week (Monday)]]-WEEKDAY(tblPlan[[#This Row],[Final build week (Monday)]],2)+4),"")</f>
        <v/>
      </c>
      <c r="F4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6">
      <c r="A46" s="78" t="inlineStr">
        <is>
          <t>WKE-R24P-T1-C</t>
        </is>
      </c>
      <c r="B46" s="85" t="n">
        <v>46685</v>
      </c>
      <c r="C46" s="79" t="n">
        <v>7</v>
      </c>
      <c r="D46" s="78" t="inlineStr">
        <is>
          <t>PLAN export 02-Sep-26</t>
        </is>
      </c>
      <c r="E46" s="81">
        <f>IF(ISNUMBER(tblPlan[[#This Row],[Final build week (Monday)]]),"W"&amp;TEXT(_xlfn.ISOWEEKNUM(tblPlan[[#This Row],[Final build week (Monday)]]),"00")&amp;"-"&amp;YEAR(tblPlan[[#This Row],[Final build week (Monday)]]-WEEKDAY(tblPlan[[#This Row],[Final build week (Monday)]],2)+4),"")</f>
        <v/>
      </c>
      <c r="F4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7">
      <c r="A47" s="78" t="inlineStr">
        <is>
          <t>WKE-R24P-T1-C</t>
        </is>
      </c>
      <c r="B47" s="85" t="n">
        <v>46692</v>
      </c>
      <c r="C47" s="79" t="n">
        <v>8</v>
      </c>
      <c r="D47" s="78" t="inlineStr">
        <is>
          <t>PLAN export 02-Sep-26</t>
        </is>
      </c>
      <c r="E47" s="81">
        <f>IF(ISNUMBER(tblPlan[[#This Row],[Final build week (Monday)]]),"W"&amp;TEXT(_xlfn.ISOWEEKNUM(tblPlan[[#This Row],[Final build week (Monday)]]),"00")&amp;"-"&amp;YEAR(tblPlan[[#This Row],[Final build week (Monday)]]-WEEKDAY(tblPlan[[#This Row],[Final build week (Monday)]],2)+4),"")</f>
        <v/>
      </c>
      <c r="F4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8">
      <c r="A48" s="78" t="inlineStr">
        <is>
          <t>WKE-R24P-T1-C</t>
        </is>
      </c>
      <c r="B48" s="85" t="n">
        <v>46699</v>
      </c>
      <c r="C48" s="79" t="n">
        <v>7</v>
      </c>
      <c r="D48" s="78" t="inlineStr">
        <is>
          <t>PLAN export 02-Sep-26</t>
        </is>
      </c>
      <c r="E48" s="81">
        <f>IF(ISNUMBER(tblPlan[[#This Row],[Final build week (Monday)]]),"W"&amp;TEXT(_xlfn.ISOWEEKNUM(tblPlan[[#This Row],[Final build week (Monday)]]),"00")&amp;"-"&amp;YEAR(tblPlan[[#This Row],[Final build week (Monday)]]-WEEKDAY(tblPlan[[#This Row],[Final build week (Monday)]],2)+4),"")</f>
        <v/>
      </c>
      <c r="F4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49">
      <c r="A49" s="78" t="inlineStr">
        <is>
          <t>WKE-R24P-T1-C</t>
        </is>
      </c>
      <c r="B49" s="85" t="n">
        <v>46706</v>
      </c>
      <c r="C49" s="79" t="n">
        <v>7</v>
      </c>
      <c r="D49" s="78" t="inlineStr">
        <is>
          <t>PLAN export 02-Sep-26</t>
        </is>
      </c>
      <c r="E49" s="81">
        <f>IF(ISNUMBER(tblPlan[[#This Row],[Final build week (Monday)]]),"W"&amp;TEXT(_xlfn.ISOWEEKNUM(tblPlan[[#This Row],[Final build week (Monday)]]),"00")&amp;"-"&amp;YEAR(tblPlan[[#This Row],[Final build week (Monday)]]-WEEKDAY(tblPlan[[#This Row],[Final build week (Monday)]],2)+4),"")</f>
        <v/>
      </c>
      <c r="F4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0">
      <c r="A50" s="78" t="inlineStr">
        <is>
          <t>WKE-R24P-T1-C</t>
        </is>
      </c>
      <c r="B50" s="85" t="n">
        <v>46713</v>
      </c>
      <c r="C50" s="79" t="n">
        <v>7</v>
      </c>
      <c r="D50" s="78" t="inlineStr">
        <is>
          <t>PLAN export 02-Sep-26</t>
        </is>
      </c>
      <c r="E50" s="81">
        <f>IF(ISNUMBER(tblPlan[[#This Row],[Final build week (Monday)]]),"W"&amp;TEXT(_xlfn.ISOWEEKNUM(tblPlan[[#This Row],[Final build week (Monday)]]),"00")&amp;"-"&amp;YEAR(tblPlan[[#This Row],[Final build week (Monday)]]-WEEKDAY(tblPlan[[#This Row],[Final build week (Monday)]],2)+4),"")</f>
        <v/>
      </c>
      <c r="F5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1">
      <c r="A51" s="78" t="inlineStr">
        <is>
          <t>WKE-R24P-T1-C</t>
        </is>
      </c>
      <c r="B51" s="85" t="n">
        <v>46720</v>
      </c>
      <c r="C51" s="79" t="n">
        <v>7</v>
      </c>
      <c r="D51" s="78" t="inlineStr">
        <is>
          <t>PLAN export 02-Sep-26</t>
        </is>
      </c>
      <c r="E51" s="81">
        <f>IF(ISNUMBER(tblPlan[[#This Row],[Final build week (Monday)]]),"W"&amp;TEXT(_xlfn.ISOWEEKNUM(tblPlan[[#This Row],[Final build week (Monday)]]),"00")&amp;"-"&amp;YEAR(tblPlan[[#This Row],[Final build week (Monday)]]-WEEKDAY(tblPlan[[#This Row],[Final build week (Monday)]],2)+4),"")</f>
        <v/>
      </c>
      <c r="F5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2">
      <c r="A52" s="78" t="inlineStr">
        <is>
          <t>WKE-R24P-T1-C</t>
        </is>
      </c>
      <c r="B52" s="85" t="n">
        <v>46727</v>
      </c>
      <c r="C52" s="79" t="n">
        <v>7</v>
      </c>
      <c r="D52" s="78" t="inlineStr">
        <is>
          <t>PLAN export 02-Sep-26</t>
        </is>
      </c>
      <c r="E52" s="81">
        <f>IF(ISNUMBER(tblPlan[[#This Row],[Final build week (Monday)]]),"W"&amp;TEXT(_xlfn.ISOWEEKNUM(tblPlan[[#This Row],[Final build week (Monday)]]),"00")&amp;"-"&amp;YEAR(tblPlan[[#This Row],[Final build week (Monday)]]-WEEKDAY(tblPlan[[#This Row],[Final build week (Monday)]],2)+4),"")</f>
        <v/>
      </c>
      <c r="F5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3">
      <c r="A53" s="78" t="inlineStr">
        <is>
          <t>WKE-R24P-T1-C</t>
        </is>
      </c>
      <c r="B53" s="85" t="n">
        <v>46734</v>
      </c>
      <c r="C53" s="79" t="n">
        <v>8</v>
      </c>
      <c r="D53" s="78" t="inlineStr">
        <is>
          <t>PLAN export 02-Sep-26</t>
        </is>
      </c>
      <c r="E53" s="81">
        <f>IF(ISNUMBER(tblPlan[[#This Row],[Final build week (Monday)]]),"W"&amp;TEXT(_xlfn.ISOWEEKNUM(tblPlan[[#This Row],[Final build week (Monday)]]),"00")&amp;"-"&amp;YEAR(tblPlan[[#This Row],[Final build week (Monday)]]-WEEKDAY(tblPlan[[#This Row],[Final build week (Monday)]],2)+4),"")</f>
        <v/>
      </c>
      <c r="F5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4">
      <c r="A54" s="78" t="inlineStr">
        <is>
          <t>WKE-R24P-T1-C</t>
        </is>
      </c>
      <c r="B54" s="85" t="n">
        <v>46741</v>
      </c>
      <c r="C54" s="79" t="n">
        <v>7</v>
      </c>
      <c r="D54" s="78" t="inlineStr">
        <is>
          <t>PLAN export 02-Sep-26</t>
        </is>
      </c>
      <c r="E54" s="81">
        <f>IF(ISNUMBER(tblPlan[[#This Row],[Final build week (Monday)]]),"W"&amp;TEXT(_xlfn.ISOWEEKNUM(tblPlan[[#This Row],[Final build week (Monday)]]),"00")&amp;"-"&amp;YEAR(tblPlan[[#This Row],[Final build week (Monday)]]-WEEKDAY(tblPlan[[#This Row],[Final build week (Monday)]],2)+4),"")</f>
        <v/>
      </c>
      <c r="F5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5">
      <c r="A55" s="78" t="inlineStr">
        <is>
          <t>WKE-R24P-T1-C</t>
        </is>
      </c>
      <c r="B55" s="85" t="n">
        <v>46762</v>
      </c>
      <c r="C55" s="79" t="n">
        <v>12</v>
      </c>
      <c r="D55" s="78" t="inlineStr">
        <is>
          <t>PLAN export 02-Sep-26</t>
        </is>
      </c>
      <c r="E55" s="81">
        <f>IF(ISNUMBER(tblPlan[[#This Row],[Final build week (Monday)]]),"W"&amp;TEXT(_xlfn.ISOWEEKNUM(tblPlan[[#This Row],[Final build week (Monday)]]),"00")&amp;"-"&amp;YEAR(tblPlan[[#This Row],[Final build week (Monday)]]-WEEKDAY(tblPlan[[#This Row],[Final build week (Monday)]],2)+4),"")</f>
        <v/>
      </c>
      <c r="F5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6">
      <c r="A56" s="78" t="inlineStr">
        <is>
          <t>WBA-R24P-T1-C</t>
        </is>
      </c>
      <c r="B56" s="85" t="n">
        <v>46678</v>
      </c>
      <c r="C56" s="79" t="n">
        <v>2</v>
      </c>
      <c r="D56" s="78" t="inlineStr">
        <is>
          <t>PLAN export 02-Sep-26</t>
        </is>
      </c>
      <c r="E56" s="81">
        <f>IF(ISNUMBER(tblPlan[[#This Row],[Final build week (Monday)]]),"W"&amp;TEXT(_xlfn.ISOWEEKNUM(tblPlan[[#This Row],[Final build week (Monday)]]),"00")&amp;"-"&amp;YEAR(tblPlan[[#This Row],[Final build week (Monday)]]-WEEKDAY(tblPlan[[#This Row],[Final build week (Monday)]],2)+4),"")</f>
        <v/>
      </c>
      <c r="F5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7">
      <c r="A57" s="78" t="inlineStr">
        <is>
          <t>WBA-R24P-T1-C</t>
        </is>
      </c>
      <c r="B57" s="85" t="n">
        <v>46762</v>
      </c>
      <c r="C57" s="79" t="n">
        <v>1</v>
      </c>
      <c r="D57" s="78" t="inlineStr">
        <is>
          <t>PLAN export 02-Sep-26</t>
        </is>
      </c>
      <c r="E57" s="81">
        <f>IF(ISNUMBER(tblPlan[[#This Row],[Final build week (Monday)]]),"W"&amp;TEXT(_xlfn.ISOWEEKNUM(tblPlan[[#This Row],[Final build week (Monday)]]),"00")&amp;"-"&amp;YEAR(tblPlan[[#This Row],[Final build week (Monday)]]-WEEKDAY(tblPlan[[#This Row],[Final build week (Monday)]],2)+4),"")</f>
        <v/>
      </c>
      <c r="F5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8">
      <c r="A58" s="78" t="inlineStr">
        <is>
          <t>WBA-R24P-T1-C</t>
        </is>
      </c>
      <c r="B58" s="85" t="n">
        <v>46776</v>
      </c>
      <c r="C58" s="79" t="n">
        <v>8</v>
      </c>
      <c r="D58" s="78" t="inlineStr">
        <is>
          <t>PLAN export 02-Sep-26</t>
        </is>
      </c>
      <c r="E58" s="81">
        <f>IF(ISNUMBER(tblPlan[[#This Row],[Final build week (Monday)]]),"W"&amp;TEXT(_xlfn.ISOWEEKNUM(tblPlan[[#This Row],[Final build week (Monday)]]),"00")&amp;"-"&amp;YEAR(tblPlan[[#This Row],[Final build week (Monday)]]-WEEKDAY(tblPlan[[#This Row],[Final build week (Monday)]],2)+4),"")</f>
        <v/>
      </c>
      <c r="F5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59">
      <c r="A59" s="78" t="inlineStr">
        <is>
          <t>WBA-R24P-T1-C</t>
        </is>
      </c>
      <c r="B59" s="85" t="n">
        <v>46783</v>
      </c>
      <c r="C59" s="79" t="n">
        <v>7</v>
      </c>
      <c r="D59" s="78" t="inlineStr">
        <is>
          <t>PLAN export 02-Sep-26</t>
        </is>
      </c>
      <c r="E59" s="81">
        <f>IF(ISNUMBER(tblPlan[[#This Row],[Final build week (Monday)]]),"W"&amp;TEXT(_xlfn.ISOWEEKNUM(tblPlan[[#This Row],[Final build week (Monday)]]),"00")&amp;"-"&amp;YEAR(tblPlan[[#This Row],[Final build week (Monday)]]-WEEKDAY(tblPlan[[#This Row],[Final build week (Monday)]],2)+4),"")</f>
        <v/>
      </c>
      <c r="F5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0">
      <c r="A60" s="78" t="inlineStr">
        <is>
          <t>WBA-R24P-T1-C</t>
        </is>
      </c>
      <c r="B60" s="85" t="n">
        <v>46790</v>
      </c>
      <c r="C60" s="79" t="n">
        <v>7</v>
      </c>
      <c r="D60" s="78" t="inlineStr">
        <is>
          <t>PLAN export 02-Sep-26</t>
        </is>
      </c>
      <c r="E60" s="81">
        <f>IF(ISNUMBER(tblPlan[[#This Row],[Final build week (Monday)]]),"W"&amp;TEXT(_xlfn.ISOWEEKNUM(tblPlan[[#This Row],[Final build week (Monday)]]),"00")&amp;"-"&amp;YEAR(tblPlan[[#This Row],[Final build week (Monday)]]-WEEKDAY(tblPlan[[#This Row],[Final build week (Monday)]],2)+4),"")</f>
        <v/>
      </c>
      <c r="F6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1">
      <c r="A61" s="78" t="inlineStr">
        <is>
          <t>WBA-R24P-T1-C</t>
        </is>
      </c>
      <c r="B61" s="85" t="n">
        <v>46797</v>
      </c>
      <c r="C61" s="79" t="n">
        <v>8</v>
      </c>
      <c r="D61" s="78" t="inlineStr">
        <is>
          <t>PLAN export 02-Sep-26</t>
        </is>
      </c>
      <c r="E61" s="81">
        <f>IF(ISNUMBER(tblPlan[[#This Row],[Final build week (Monday)]]),"W"&amp;TEXT(_xlfn.ISOWEEKNUM(tblPlan[[#This Row],[Final build week (Monday)]]),"00")&amp;"-"&amp;YEAR(tblPlan[[#This Row],[Final build week (Monday)]]-WEEKDAY(tblPlan[[#This Row],[Final build week (Monday)]],2)+4),"")</f>
        <v/>
      </c>
      <c r="F6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2">
      <c r="A62" s="78" t="inlineStr">
        <is>
          <t>WBA-R24P-T1-C</t>
        </is>
      </c>
      <c r="B62" s="85" t="n">
        <v>46804</v>
      </c>
      <c r="C62" s="79" t="n">
        <v>8</v>
      </c>
      <c r="D62" s="78" t="inlineStr">
        <is>
          <t>PLAN export 02-Sep-26</t>
        </is>
      </c>
      <c r="E62" s="81">
        <f>IF(ISNUMBER(tblPlan[[#This Row],[Final build week (Monday)]]),"W"&amp;TEXT(_xlfn.ISOWEEKNUM(tblPlan[[#This Row],[Final build week (Monday)]]),"00")&amp;"-"&amp;YEAR(tblPlan[[#This Row],[Final build week (Monday)]]-WEEKDAY(tblPlan[[#This Row],[Final build week (Monday)]],2)+4),"")</f>
        <v/>
      </c>
      <c r="F6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3">
      <c r="A63" s="78" t="inlineStr">
        <is>
          <t>WBA-R24P-T1-C</t>
        </is>
      </c>
      <c r="B63" s="85" t="n">
        <v>46811</v>
      </c>
      <c r="C63" s="79" t="n">
        <v>8</v>
      </c>
      <c r="D63" s="78" t="inlineStr">
        <is>
          <t>PLAN export 02-Sep-26</t>
        </is>
      </c>
      <c r="E63" s="81">
        <f>IF(ISNUMBER(tblPlan[[#This Row],[Final build week (Monday)]]),"W"&amp;TEXT(_xlfn.ISOWEEKNUM(tblPlan[[#This Row],[Final build week (Monday)]]),"00")&amp;"-"&amp;YEAR(tblPlan[[#This Row],[Final build week (Monday)]]-WEEKDAY(tblPlan[[#This Row],[Final build week (Monday)]],2)+4),"")</f>
        <v/>
      </c>
      <c r="F6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4">
      <c r="A64" s="78" t="inlineStr">
        <is>
          <t>WBA-R24P-T1-C</t>
        </is>
      </c>
      <c r="B64" s="85" t="n">
        <v>46818</v>
      </c>
      <c r="C64" s="79" t="n">
        <v>8</v>
      </c>
      <c r="D64" s="78" t="inlineStr">
        <is>
          <t>PLAN export 02-Sep-26</t>
        </is>
      </c>
      <c r="E64" s="81">
        <f>IF(ISNUMBER(tblPlan[[#This Row],[Final build week (Monday)]]),"W"&amp;TEXT(_xlfn.ISOWEEKNUM(tblPlan[[#This Row],[Final build week (Monday)]]),"00")&amp;"-"&amp;YEAR(tblPlan[[#This Row],[Final build week (Monday)]]-WEEKDAY(tblPlan[[#This Row],[Final build week (Monday)]],2)+4),"")</f>
        <v/>
      </c>
      <c r="F6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5">
      <c r="A65" s="78" t="inlineStr">
        <is>
          <t>WBA-R24P-T1-C</t>
        </is>
      </c>
      <c r="B65" s="85" t="n">
        <v>46825</v>
      </c>
      <c r="C65" s="79" t="n">
        <v>9</v>
      </c>
      <c r="D65" s="78" t="inlineStr">
        <is>
          <t>PLAN export 02-Sep-26</t>
        </is>
      </c>
      <c r="E65" s="81">
        <f>IF(ISNUMBER(tblPlan[[#This Row],[Final build week (Monday)]]),"W"&amp;TEXT(_xlfn.ISOWEEKNUM(tblPlan[[#This Row],[Final build week (Monday)]]),"00")&amp;"-"&amp;YEAR(tblPlan[[#This Row],[Final build week (Monday)]]-WEEKDAY(tblPlan[[#This Row],[Final build week (Monday)]],2)+4),"")</f>
        <v/>
      </c>
      <c r="F6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6">
      <c r="A66" s="78" t="inlineStr">
        <is>
          <t>WBA-R24P-T1-C</t>
        </is>
      </c>
      <c r="B66" s="85" t="n">
        <v>46832</v>
      </c>
      <c r="C66" s="79" t="n">
        <v>9</v>
      </c>
      <c r="D66" s="78" t="inlineStr">
        <is>
          <t>PLAN export 02-Sep-26</t>
        </is>
      </c>
      <c r="E66" s="81">
        <f>IF(ISNUMBER(tblPlan[[#This Row],[Final build week (Monday)]]),"W"&amp;TEXT(_xlfn.ISOWEEKNUM(tblPlan[[#This Row],[Final build week (Monday)]]),"00")&amp;"-"&amp;YEAR(tblPlan[[#This Row],[Final build week (Monday)]]-WEEKDAY(tblPlan[[#This Row],[Final build week (Monday)]],2)+4),"")</f>
        <v/>
      </c>
      <c r="F6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7">
      <c r="A67" s="78" t="inlineStr">
        <is>
          <t>WBA-R24P-T1-C</t>
        </is>
      </c>
      <c r="B67" s="85" t="n">
        <v>46839</v>
      </c>
      <c r="C67" s="79" t="n">
        <v>9</v>
      </c>
      <c r="D67" s="78" t="inlineStr">
        <is>
          <t>PLAN export 02-Sep-26</t>
        </is>
      </c>
      <c r="E67" s="81">
        <f>IF(ISNUMBER(tblPlan[[#This Row],[Final build week (Monday)]]),"W"&amp;TEXT(_xlfn.ISOWEEKNUM(tblPlan[[#This Row],[Final build week (Monday)]]),"00")&amp;"-"&amp;YEAR(tblPlan[[#This Row],[Final build week (Monday)]]-WEEKDAY(tblPlan[[#This Row],[Final build week (Monday)]],2)+4),"")</f>
        <v/>
      </c>
      <c r="F6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8">
      <c r="A68" s="78" t="inlineStr">
        <is>
          <t>WBA-R24P-T1-C</t>
        </is>
      </c>
      <c r="B68" s="85" t="n">
        <v>46846</v>
      </c>
      <c r="C68" s="79" t="n">
        <v>9</v>
      </c>
      <c r="D68" s="78" t="inlineStr">
        <is>
          <t>PLAN export 02-Sep-26</t>
        </is>
      </c>
      <c r="E68" s="81">
        <f>IF(ISNUMBER(tblPlan[[#This Row],[Final build week (Monday)]]),"W"&amp;TEXT(_xlfn.ISOWEEKNUM(tblPlan[[#This Row],[Final build week (Monday)]]),"00")&amp;"-"&amp;YEAR(tblPlan[[#This Row],[Final build week (Monday)]]-WEEKDAY(tblPlan[[#This Row],[Final build week (Monday)]],2)+4),"")</f>
        <v/>
      </c>
      <c r="F6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69">
      <c r="A69" s="78" t="inlineStr">
        <is>
          <t>WBA-R24P-T1-C</t>
        </is>
      </c>
      <c r="B69" s="85" t="n">
        <v>46853</v>
      </c>
      <c r="C69" s="79" t="n">
        <v>10</v>
      </c>
      <c r="D69" s="78" t="inlineStr">
        <is>
          <t>PLAN export 02-Sep-26</t>
        </is>
      </c>
      <c r="E69" s="81">
        <f>IF(ISNUMBER(tblPlan[[#This Row],[Final build week (Monday)]]),"W"&amp;TEXT(_xlfn.ISOWEEKNUM(tblPlan[[#This Row],[Final build week (Monday)]]),"00")&amp;"-"&amp;YEAR(tblPlan[[#This Row],[Final build week (Monday)]]-WEEKDAY(tblPlan[[#This Row],[Final build week (Monday)]],2)+4),"")</f>
        <v/>
      </c>
      <c r="F6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0">
      <c r="A70" s="78" t="inlineStr">
        <is>
          <t>WBA-R24P-T1-C</t>
        </is>
      </c>
      <c r="B70" s="85" t="n">
        <v>46860</v>
      </c>
      <c r="C70" s="79" t="n">
        <v>3</v>
      </c>
      <c r="D70" s="78" t="inlineStr">
        <is>
          <t>PLAN export 02-Sep-26</t>
        </is>
      </c>
      <c r="E70" s="81">
        <f>IF(ISNUMBER(tblPlan[[#This Row],[Final build week (Monday)]]),"W"&amp;TEXT(_xlfn.ISOWEEKNUM(tblPlan[[#This Row],[Final build week (Monday)]]),"00")&amp;"-"&amp;YEAR(tblPlan[[#This Row],[Final build week (Monday)]]-WEEKDAY(tblPlan[[#This Row],[Final build week (Monday)]],2)+4),"")</f>
        <v/>
      </c>
      <c r="F7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1">
      <c r="A71" s="78" t="inlineStr">
        <is>
          <t>WBA-R24P-T1-C</t>
        </is>
      </c>
      <c r="B71" s="85" t="n">
        <v>46867</v>
      </c>
      <c r="C71" s="79" t="n">
        <v>2</v>
      </c>
      <c r="D71" s="78" t="inlineStr">
        <is>
          <t>PLAN export 02-Sep-26</t>
        </is>
      </c>
      <c r="E71" s="81">
        <f>IF(ISNUMBER(tblPlan[[#This Row],[Final build week (Monday)]]),"W"&amp;TEXT(_xlfn.ISOWEEKNUM(tblPlan[[#This Row],[Final build week (Monday)]]),"00")&amp;"-"&amp;YEAR(tblPlan[[#This Row],[Final build week (Monday)]]-WEEKDAY(tblPlan[[#This Row],[Final build week (Monday)]],2)+4),"")</f>
        <v/>
      </c>
      <c r="F7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2">
      <c r="A72" s="78" t="inlineStr">
        <is>
          <t>WBA-R24P-T1-C</t>
        </is>
      </c>
      <c r="B72" s="85" t="n">
        <v>46874</v>
      </c>
      <c r="C72" s="79" t="n">
        <v>10</v>
      </c>
      <c r="D72" s="78" t="inlineStr">
        <is>
          <t>PLAN export 02-Sep-26</t>
        </is>
      </c>
      <c r="E72" s="81">
        <f>IF(ISNUMBER(tblPlan[[#This Row],[Final build week (Monday)]]),"W"&amp;TEXT(_xlfn.ISOWEEKNUM(tblPlan[[#This Row],[Final build week (Monday)]]),"00")&amp;"-"&amp;YEAR(tblPlan[[#This Row],[Final build week (Monday)]]-WEEKDAY(tblPlan[[#This Row],[Final build week (Monday)]],2)+4),"")</f>
        <v/>
      </c>
      <c r="F7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3">
      <c r="A73" s="78" t="inlineStr">
        <is>
          <t>WBA-R24P-T1-C</t>
        </is>
      </c>
      <c r="B73" s="85" t="n">
        <v>46881</v>
      </c>
      <c r="C73" s="79" t="n">
        <v>9</v>
      </c>
      <c r="D73" s="78" t="inlineStr">
        <is>
          <t>PLAN export 02-Sep-26</t>
        </is>
      </c>
      <c r="E73" s="81">
        <f>IF(ISNUMBER(tblPlan[[#This Row],[Final build week (Monday)]]),"W"&amp;TEXT(_xlfn.ISOWEEKNUM(tblPlan[[#This Row],[Final build week (Monday)]]),"00")&amp;"-"&amp;YEAR(tblPlan[[#This Row],[Final build week (Monday)]]-WEEKDAY(tblPlan[[#This Row],[Final build week (Monday)]],2)+4),"")</f>
        <v/>
      </c>
      <c r="F7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4">
      <c r="A74" s="78" t="inlineStr">
        <is>
          <t>WBA-R24P-T1-C</t>
        </is>
      </c>
      <c r="B74" s="85" t="n">
        <v>46888</v>
      </c>
      <c r="C74" s="79" t="n">
        <v>10</v>
      </c>
      <c r="D74" s="78" t="inlineStr">
        <is>
          <t>PLAN export 02-Sep-26</t>
        </is>
      </c>
      <c r="E74" s="81">
        <f>IF(ISNUMBER(tblPlan[[#This Row],[Final build week (Monday)]]),"W"&amp;TEXT(_xlfn.ISOWEEKNUM(tblPlan[[#This Row],[Final build week (Monday)]]),"00")&amp;"-"&amp;YEAR(tblPlan[[#This Row],[Final build week (Monday)]]-WEEKDAY(tblPlan[[#This Row],[Final build week (Monday)]],2)+4),"")</f>
        <v/>
      </c>
      <c r="F7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5">
      <c r="A75" s="78" t="inlineStr">
        <is>
          <t>WBA-R24P-T1-C</t>
        </is>
      </c>
      <c r="B75" s="85" t="n">
        <v>46895</v>
      </c>
      <c r="C75" s="79" t="n">
        <v>9</v>
      </c>
      <c r="D75" s="78" t="inlineStr">
        <is>
          <t>PLAN export 02-Sep-26</t>
        </is>
      </c>
      <c r="E75" s="81">
        <f>IF(ISNUMBER(tblPlan[[#This Row],[Final build week (Monday)]]),"W"&amp;TEXT(_xlfn.ISOWEEKNUM(tblPlan[[#This Row],[Final build week (Monday)]]),"00")&amp;"-"&amp;YEAR(tblPlan[[#This Row],[Final build week (Monday)]]-WEEKDAY(tblPlan[[#This Row],[Final build week (Monday)]],2)+4),"")</f>
        <v/>
      </c>
      <c r="F7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6">
      <c r="A76" s="78" t="inlineStr">
        <is>
          <t>WBA-R24P-T1-C</t>
        </is>
      </c>
      <c r="B76" s="85" t="n">
        <v>46902</v>
      </c>
      <c r="C76" s="79" t="n">
        <v>10</v>
      </c>
      <c r="D76" s="78" t="inlineStr">
        <is>
          <t>PLAN export 02-Sep-26</t>
        </is>
      </c>
      <c r="E76" s="81">
        <f>IF(ISNUMBER(tblPlan[[#This Row],[Final build week (Monday)]]),"W"&amp;TEXT(_xlfn.ISOWEEKNUM(tblPlan[[#This Row],[Final build week (Monday)]]),"00")&amp;"-"&amp;YEAR(tblPlan[[#This Row],[Final build week (Monday)]]-WEEKDAY(tblPlan[[#This Row],[Final build week (Monday)]],2)+4),"")</f>
        <v/>
      </c>
      <c r="F7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7">
      <c r="A77" s="78" t="inlineStr">
        <is>
          <t>WBA-R24P-T1-C</t>
        </is>
      </c>
      <c r="B77" s="85" t="n">
        <v>46909</v>
      </c>
      <c r="C77" s="79" t="n">
        <v>9</v>
      </c>
      <c r="D77" s="78" t="inlineStr">
        <is>
          <t>PLAN export 02-Sep-26</t>
        </is>
      </c>
      <c r="E77" s="81">
        <f>IF(ISNUMBER(tblPlan[[#This Row],[Final build week (Monday)]]),"W"&amp;TEXT(_xlfn.ISOWEEKNUM(tblPlan[[#This Row],[Final build week (Monday)]]),"00")&amp;"-"&amp;YEAR(tblPlan[[#This Row],[Final build week (Monday)]]-WEEKDAY(tblPlan[[#This Row],[Final build week (Monday)]],2)+4),"")</f>
        <v/>
      </c>
      <c r="F7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8">
      <c r="A78" s="78" t="inlineStr">
        <is>
          <t>WBA-R24P-T1-C</t>
        </is>
      </c>
      <c r="B78" s="85" t="n">
        <v>46916</v>
      </c>
      <c r="C78" s="79" t="n">
        <v>10</v>
      </c>
      <c r="D78" s="78" t="inlineStr">
        <is>
          <t>PLAN export 02-Sep-26</t>
        </is>
      </c>
      <c r="E78" s="81">
        <f>IF(ISNUMBER(tblPlan[[#This Row],[Final build week (Monday)]]),"W"&amp;TEXT(_xlfn.ISOWEEKNUM(tblPlan[[#This Row],[Final build week (Monday)]]),"00")&amp;"-"&amp;YEAR(tblPlan[[#This Row],[Final build week (Monday)]]-WEEKDAY(tblPlan[[#This Row],[Final build week (Monday)]],2)+4),"")</f>
        <v/>
      </c>
      <c r="F7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79">
      <c r="A79" s="78" t="inlineStr">
        <is>
          <t>WBA-R24P-T1-C</t>
        </is>
      </c>
      <c r="B79" s="85" t="n">
        <v>46923</v>
      </c>
      <c r="C79" s="79" t="n">
        <v>9</v>
      </c>
      <c r="D79" s="78" t="inlineStr">
        <is>
          <t>PLAN export 02-Sep-26</t>
        </is>
      </c>
      <c r="E79" s="81">
        <f>IF(ISNUMBER(tblPlan[[#This Row],[Final build week (Monday)]]),"W"&amp;TEXT(_xlfn.ISOWEEKNUM(tblPlan[[#This Row],[Final build week (Monday)]]),"00")&amp;"-"&amp;YEAR(tblPlan[[#This Row],[Final build week (Monday)]]-WEEKDAY(tblPlan[[#This Row],[Final build week (Monday)]],2)+4),"")</f>
        <v/>
      </c>
      <c r="F7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0">
      <c r="A80" s="78" t="inlineStr">
        <is>
          <t>WBA-R24P-T1-C</t>
        </is>
      </c>
      <c r="B80" s="85" t="n">
        <v>46930</v>
      </c>
      <c r="C80" s="79" t="n">
        <v>10</v>
      </c>
      <c r="D80" s="78" t="inlineStr">
        <is>
          <t>PLAN export 02-Sep-26</t>
        </is>
      </c>
      <c r="E80" s="81">
        <f>IF(ISNUMBER(tblPlan[[#This Row],[Final build week (Monday)]]),"W"&amp;TEXT(_xlfn.ISOWEEKNUM(tblPlan[[#This Row],[Final build week (Monday)]]),"00")&amp;"-"&amp;YEAR(tblPlan[[#This Row],[Final build week (Monday)]]-WEEKDAY(tblPlan[[#This Row],[Final build week (Monday)]],2)+4),"")</f>
        <v/>
      </c>
      <c r="F8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1">
      <c r="A81" s="78" t="inlineStr">
        <is>
          <t>WBA-R24P-T1-C</t>
        </is>
      </c>
      <c r="B81" s="85" t="n">
        <v>46937</v>
      </c>
      <c r="C81" s="79" t="n">
        <v>3</v>
      </c>
      <c r="D81" s="78" t="inlineStr">
        <is>
          <t>PLAN export 02-Sep-26</t>
        </is>
      </c>
      <c r="E81" s="81">
        <f>IF(ISNUMBER(tblPlan[[#This Row],[Final build week (Monday)]]),"W"&amp;TEXT(_xlfn.ISOWEEKNUM(tblPlan[[#This Row],[Final build week (Monday)]]),"00")&amp;"-"&amp;YEAR(tblPlan[[#This Row],[Final build week (Monday)]]-WEEKDAY(tblPlan[[#This Row],[Final build week (Monday)]],2)+4),"")</f>
        <v/>
      </c>
      <c r="F8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2">
      <c r="A82" s="78" t="inlineStr">
        <is>
          <t>WBA-R24P-T1-C</t>
        </is>
      </c>
      <c r="B82" s="85" t="n">
        <v>46944</v>
      </c>
      <c r="C82" s="79" t="n">
        <v>3</v>
      </c>
      <c r="D82" s="78" t="inlineStr">
        <is>
          <t>PLAN export 02-Sep-26</t>
        </is>
      </c>
      <c r="E82" s="81">
        <f>IF(ISNUMBER(tblPlan[[#This Row],[Final build week (Monday)]]),"W"&amp;TEXT(_xlfn.ISOWEEKNUM(tblPlan[[#This Row],[Final build week (Monday)]]),"00")&amp;"-"&amp;YEAR(tblPlan[[#This Row],[Final build week (Monday)]]-WEEKDAY(tblPlan[[#This Row],[Final build week (Monday)]],2)+4),"")</f>
        <v/>
      </c>
      <c r="F8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3">
      <c r="A83" s="78" t="inlineStr">
        <is>
          <t>E2A-R4P-T1-C</t>
        </is>
      </c>
      <c r="B83" s="85" t="n">
        <v>46335</v>
      </c>
      <c r="C83" s="79" t="n">
        <v>5</v>
      </c>
      <c r="D83" s="78" t="inlineStr">
        <is>
          <t>PLAN export 02-Sep-26</t>
        </is>
      </c>
      <c r="E83" s="81">
        <f>IF(ISNUMBER(tblPlan[[#This Row],[Final build week (Monday)]]),"W"&amp;TEXT(_xlfn.ISOWEEKNUM(tblPlan[[#This Row],[Final build week (Monday)]]),"00")&amp;"-"&amp;YEAR(tblPlan[[#This Row],[Final build week (Monday)]]-WEEKDAY(tblPlan[[#This Row],[Final build week (Monday)]],2)+4),"")</f>
        <v/>
      </c>
      <c r="F8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4">
      <c r="A84" s="78" t="inlineStr">
        <is>
          <t>E2A-R4P-T1-C</t>
        </is>
      </c>
      <c r="B84" s="85" t="n">
        <v>46342</v>
      </c>
      <c r="C84" s="79" t="n">
        <v>6</v>
      </c>
      <c r="D84" s="78" t="inlineStr">
        <is>
          <t>PLAN export 02-Sep-26</t>
        </is>
      </c>
      <c r="E84" s="81">
        <f>IF(ISNUMBER(tblPlan[[#This Row],[Final build week (Monday)]]),"W"&amp;TEXT(_xlfn.ISOWEEKNUM(tblPlan[[#This Row],[Final build week (Monday)]]),"00")&amp;"-"&amp;YEAR(tblPlan[[#This Row],[Final build week (Monday)]]-WEEKDAY(tblPlan[[#This Row],[Final build week (Monday)]],2)+4),"")</f>
        <v/>
      </c>
      <c r="F8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5">
      <c r="A85" s="78" t="inlineStr">
        <is>
          <t>E2A-R4P-T1-C</t>
        </is>
      </c>
      <c r="B85" s="85" t="n">
        <v>46349</v>
      </c>
      <c r="C85" s="79" t="n">
        <v>1</v>
      </c>
      <c r="D85" s="78" t="inlineStr">
        <is>
          <t>PLAN export 02-Sep-26</t>
        </is>
      </c>
      <c r="E85" s="81">
        <f>IF(ISNUMBER(tblPlan[[#This Row],[Final build week (Monday)]]),"W"&amp;TEXT(_xlfn.ISOWEEKNUM(tblPlan[[#This Row],[Final build week (Monday)]]),"00")&amp;"-"&amp;YEAR(tblPlan[[#This Row],[Final build week (Monday)]]-WEEKDAY(tblPlan[[#This Row],[Final build week (Monday)]],2)+4),"")</f>
        <v/>
      </c>
      <c r="F8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6">
      <c r="A86" s="78" t="inlineStr">
        <is>
          <t>E2A-R4P-T1-C</t>
        </is>
      </c>
      <c r="B86" s="85" t="n">
        <v>46356</v>
      </c>
      <c r="C86" s="79" t="n">
        <v>8</v>
      </c>
      <c r="D86" s="78" t="inlineStr">
        <is>
          <t>PLAN export 02-Sep-26</t>
        </is>
      </c>
      <c r="E86" s="81">
        <f>IF(ISNUMBER(tblPlan[[#This Row],[Final build week (Monday)]]),"W"&amp;TEXT(_xlfn.ISOWEEKNUM(tblPlan[[#This Row],[Final build week (Monday)]]),"00")&amp;"-"&amp;YEAR(tblPlan[[#This Row],[Final build week (Monday)]]-WEEKDAY(tblPlan[[#This Row],[Final build week (Monday)]],2)+4),"")</f>
        <v/>
      </c>
      <c r="F8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7">
      <c r="A87" s="78" t="inlineStr">
        <is>
          <t>E2A-R4P-T1-C</t>
        </is>
      </c>
      <c r="B87" s="85" t="n">
        <v>46363</v>
      </c>
      <c r="C87" s="79" t="n">
        <v>8</v>
      </c>
      <c r="D87" s="78" t="inlineStr">
        <is>
          <t>PLAN export 02-Sep-26</t>
        </is>
      </c>
      <c r="E87" s="81">
        <f>IF(ISNUMBER(tblPlan[[#This Row],[Final build week (Monday)]]),"W"&amp;TEXT(_xlfn.ISOWEEKNUM(tblPlan[[#This Row],[Final build week (Monday)]]),"00")&amp;"-"&amp;YEAR(tblPlan[[#This Row],[Final build week (Monday)]]-WEEKDAY(tblPlan[[#This Row],[Final build week (Monday)]],2)+4),"")</f>
        <v/>
      </c>
      <c r="F8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8">
      <c r="A88" s="78" t="inlineStr">
        <is>
          <t>E2A-R4P-T1-C</t>
        </is>
      </c>
      <c r="B88" s="85" t="n">
        <v>46412</v>
      </c>
      <c r="C88" s="79" t="n">
        <v>11</v>
      </c>
      <c r="D88" s="78" t="inlineStr">
        <is>
          <t>PLAN export 02-Sep-26</t>
        </is>
      </c>
      <c r="E88" s="81">
        <f>IF(ISNUMBER(tblPlan[[#This Row],[Final build week (Monday)]]),"W"&amp;TEXT(_xlfn.ISOWEEKNUM(tblPlan[[#This Row],[Final build week (Monday)]]),"00")&amp;"-"&amp;YEAR(tblPlan[[#This Row],[Final build week (Monday)]]-WEEKDAY(tblPlan[[#This Row],[Final build week (Monday)]],2)+4),"")</f>
        <v/>
      </c>
      <c r="F8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89">
      <c r="A89" s="78" t="inlineStr">
        <is>
          <t>E2A-R4P-T2-M</t>
        </is>
      </c>
      <c r="B89" s="85" t="n">
        <v>46496</v>
      </c>
      <c r="C89" s="79" t="n">
        <v>1</v>
      </c>
      <c r="D89" s="78" t="inlineStr">
        <is>
          <t>PLAN export 02-Sep-26</t>
        </is>
      </c>
      <c r="E89" s="81">
        <f>IF(ISNUMBER(tblPlan[[#This Row],[Final build week (Monday)]]),"W"&amp;TEXT(_xlfn.ISOWEEKNUM(tblPlan[[#This Row],[Final build week (Monday)]]),"00")&amp;"-"&amp;YEAR(tblPlan[[#This Row],[Final build week (Monday)]]-WEEKDAY(tblPlan[[#This Row],[Final build week (Monday)]],2)+4),"")</f>
        <v/>
      </c>
      <c r="F8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0">
      <c r="A90" s="78" t="inlineStr">
        <is>
          <t>E2A-R4P-T2-M</t>
        </is>
      </c>
      <c r="B90" s="85" t="n">
        <v>46510</v>
      </c>
      <c r="C90" s="79" t="n">
        <v>2</v>
      </c>
      <c r="D90" s="78" t="inlineStr">
        <is>
          <t>PLAN export 02-Sep-26</t>
        </is>
      </c>
      <c r="E90" s="81">
        <f>IF(ISNUMBER(tblPlan[[#This Row],[Final build week (Monday)]]),"W"&amp;TEXT(_xlfn.ISOWEEKNUM(tblPlan[[#This Row],[Final build week (Monday)]]),"00")&amp;"-"&amp;YEAR(tblPlan[[#This Row],[Final build week (Monday)]]-WEEKDAY(tblPlan[[#This Row],[Final build week (Monday)]],2)+4),"")</f>
        <v/>
      </c>
      <c r="F9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1">
      <c r="A91" s="78" t="inlineStr">
        <is>
          <t>E2A-R4P-T2-M</t>
        </is>
      </c>
      <c r="B91" s="85" t="n">
        <v>46517</v>
      </c>
      <c r="C91" s="79" t="n">
        <v>5</v>
      </c>
      <c r="D91" s="78" t="inlineStr">
        <is>
          <t>PLAN export 02-Sep-26</t>
        </is>
      </c>
      <c r="E91" s="81">
        <f>IF(ISNUMBER(tblPlan[[#This Row],[Final build week (Monday)]]),"W"&amp;TEXT(_xlfn.ISOWEEKNUM(tblPlan[[#This Row],[Final build week (Monday)]]),"00")&amp;"-"&amp;YEAR(tblPlan[[#This Row],[Final build week (Monday)]]-WEEKDAY(tblPlan[[#This Row],[Final build week (Monday)]],2)+4),"")</f>
        <v/>
      </c>
      <c r="F9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2">
      <c r="A92" s="78" t="inlineStr">
        <is>
          <t>E2A-R4P-T2-M</t>
        </is>
      </c>
      <c r="B92" s="85" t="n">
        <v>46545</v>
      </c>
      <c r="C92" s="79" t="n">
        <v>1</v>
      </c>
      <c r="D92" s="78" t="inlineStr">
        <is>
          <t>PLAN export 02-Sep-26</t>
        </is>
      </c>
      <c r="E92" s="81">
        <f>IF(ISNUMBER(tblPlan[[#This Row],[Final build week (Monday)]]),"W"&amp;TEXT(_xlfn.ISOWEEKNUM(tblPlan[[#This Row],[Final build week (Monday)]]),"00")&amp;"-"&amp;YEAR(tblPlan[[#This Row],[Final build week (Monday)]]-WEEKDAY(tblPlan[[#This Row],[Final build week (Monday)]],2)+4),"")</f>
        <v/>
      </c>
      <c r="F9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3">
      <c r="A93" s="78" t="inlineStr">
        <is>
          <t>E2A-R4P-T2-M</t>
        </is>
      </c>
      <c r="B93" s="85" t="n">
        <v>46552</v>
      </c>
      <c r="C93" s="79" t="n">
        <v>1</v>
      </c>
      <c r="D93" s="78" t="inlineStr">
        <is>
          <t>PLAN export 02-Sep-26</t>
        </is>
      </c>
      <c r="E93" s="81">
        <f>IF(ISNUMBER(tblPlan[[#This Row],[Final build week (Monday)]]),"W"&amp;TEXT(_xlfn.ISOWEEKNUM(tblPlan[[#This Row],[Final build week (Monday)]]),"00")&amp;"-"&amp;YEAR(tblPlan[[#This Row],[Final build week (Monday)]]-WEEKDAY(tblPlan[[#This Row],[Final build week (Monday)]],2)+4),"")</f>
        <v/>
      </c>
      <c r="F9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4">
      <c r="A94" s="78" t="inlineStr">
        <is>
          <t>E2A-R4P-T2-M</t>
        </is>
      </c>
      <c r="B94" s="85" t="n">
        <v>46559</v>
      </c>
      <c r="C94" s="79" t="n">
        <v>1</v>
      </c>
      <c r="D94" s="78" t="inlineStr">
        <is>
          <t>PLAN export 02-Sep-26</t>
        </is>
      </c>
      <c r="E94" s="81">
        <f>IF(ISNUMBER(tblPlan[[#This Row],[Final build week (Monday)]]),"W"&amp;TEXT(_xlfn.ISOWEEKNUM(tblPlan[[#This Row],[Final build week (Monday)]]),"00")&amp;"-"&amp;YEAR(tblPlan[[#This Row],[Final build week (Monday)]]-WEEKDAY(tblPlan[[#This Row],[Final build week (Monday)]],2)+4),"")</f>
        <v/>
      </c>
      <c r="F9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5">
      <c r="A95" s="78" t="inlineStr">
        <is>
          <t>E2A-R6P-T3-M</t>
        </is>
      </c>
      <c r="B95" s="85" t="n">
        <v>46468</v>
      </c>
      <c r="C95" s="79" t="n">
        <v>3</v>
      </c>
      <c r="D95" s="78" t="inlineStr">
        <is>
          <t>PLAN export 02-Sep-26</t>
        </is>
      </c>
      <c r="E95" s="81">
        <f>IF(ISNUMBER(tblPlan[[#This Row],[Final build week (Monday)]]),"W"&amp;TEXT(_xlfn.ISOWEEKNUM(tblPlan[[#This Row],[Final build week (Monday)]]),"00")&amp;"-"&amp;YEAR(tblPlan[[#This Row],[Final build week (Monday)]]-WEEKDAY(tblPlan[[#This Row],[Final build week (Monday)]],2)+4),"")</f>
        <v/>
      </c>
      <c r="F9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6">
      <c r="A96" s="78" t="inlineStr">
        <is>
          <t>E2A-R8P-T4-C</t>
        </is>
      </c>
      <c r="B96" s="85" t="n">
        <v>46370</v>
      </c>
      <c r="C96" s="79" t="n">
        <v>8</v>
      </c>
      <c r="D96" s="78" t="inlineStr">
        <is>
          <t>PLAN export 02-Sep-26</t>
        </is>
      </c>
      <c r="E96" s="81">
        <f>IF(ISNUMBER(tblPlan[[#This Row],[Final build week (Monday)]]),"W"&amp;TEXT(_xlfn.ISOWEEKNUM(tblPlan[[#This Row],[Final build week (Monday)]]),"00")&amp;"-"&amp;YEAR(tblPlan[[#This Row],[Final build week (Monday)]]-WEEKDAY(tblPlan[[#This Row],[Final build week (Monday)]],2)+4),"")</f>
        <v/>
      </c>
      <c r="F9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7">
      <c r="A97" s="78" t="inlineStr">
        <is>
          <t>E2A-R8P-T4-C</t>
        </is>
      </c>
      <c r="B97" s="85" t="n">
        <v>46391</v>
      </c>
      <c r="C97" s="79" t="n">
        <v>2</v>
      </c>
      <c r="D97" s="78" t="inlineStr">
        <is>
          <t>PLAN export 02-Sep-26</t>
        </is>
      </c>
      <c r="E97" s="81">
        <f>IF(ISNUMBER(tblPlan[[#This Row],[Final build week (Monday)]]),"W"&amp;TEXT(_xlfn.ISOWEEKNUM(tblPlan[[#This Row],[Final build week (Monday)]]),"00")&amp;"-"&amp;YEAR(tblPlan[[#This Row],[Final build week (Monday)]]-WEEKDAY(tblPlan[[#This Row],[Final build week (Monday)]],2)+4),"")</f>
        <v/>
      </c>
      <c r="F9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8">
      <c r="A98" s="78" t="inlineStr">
        <is>
          <t>E2A-R12P-T5-C</t>
        </is>
      </c>
      <c r="B98" s="85" t="n">
        <v>46181</v>
      </c>
      <c r="C98" s="79" t="n">
        <v>1</v>
      </c>
      <c r="D98" s="78" t="inlineStr">
        <is>
          <t>ASP 01 2026 (Jan-26 view) — weeks before W36</t>
        </is>
      </c>
      <c r="E98" s="81">
        <f>IF(ISNUMBER(tblPlan[[#This Row],[Final build week (Monday)]]),"W"&amp;TEXT(_xlfn.ISOWEEKNUM(tblPlan[[#This Row],[Final build week (Monday)]]),"00")&amp;"-"&amp;YEAR(tblPlan[[#This Row],[Final build week (Monday)]]-WEEKDAY(tblPlan[[#This Row],[Final build week (Monday)]],2)+4),"")</f>
        <v/>
      </c>
      <c r="F9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99">
      <c r="A99" s="78" t="inlineStr">
        <is>
          <t>E2A-R12P-T5-C</t>
        </is>
      </c>
      <c r="B99" s="85" t="n">
        <v>46202</v>
      </c>
      <c r="C99" s="79" t="n">
        <v>1</v>
      </c>
      <c r="D99" s="78" t="inlineStr">
        <is>
          <t>ASP 01 2026 (Jan-26 view) — weeks before W36</t>
        </is>
      </c>
      <c r="E99" s="81">
        <f>IF(ISNUMBER(tblPlan[[#This Row],[Final build week (Monday)]]),"W"&amp;TEXT(_xlfn.ISOWEEKNUM(tblPlan[[#This Row],[Final build week (Monday)]]),"00")&amp;"-"&amp;YEAR(tblPlan[[#This Row],[Final build week (Monday)]]-WEEKDAY(tblPlan[[#This Row],[Final build week (Monday)]],2)+4),"")</f>
        <v/>
      </c>
      <c r="F9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0">
      <c r="A100" s="78" t="inlineStr">
        <is>
          <t>E2A-R12P-T5-C</t>
        </is>
      </c>
      <c r="B100" s="85" t="n">
        <v>46209</v>
      </c>
      <c r="C100" s="79" t="n">
        <v>1</v>
      </c>
      <c r="D100" s="78" t="inlineStr">
        <is>
          <t>ASP 01 2026 (Jan-26 view) — weeks before W36</t>
        </is>
      </c>
      <c r="E100" s="81">
        <f>IF(ISNUMBER(tblPlan[[#This Row],[Final build week (Monday)]]),"W"&amp;TEXT(_xlfn.ISOWEEKNUM(tblPlan[[#This Row],[Final build week (Monday)]]),"00")&amp;"-"&amp;YEAR(tblPlan[[#This Row],[Final build week (Monday)]]-WEEKDAY(tblPlan[[#This Row],[Final build week (Monday)]],2)+4),"")</f>
        <v/>
      </c>
      <c r="F10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1">
      <c r="A101" s="78" t="inlineStr">
        <is>
          <t>E2A-R12P-T5-C</t>
        </is>
      </c>
      <c r="B101" s="85" t="n">
        <v>46216</v>
      </c>
      <c r="C101" s="79" t="n">
        <v>1</v>
      </c>
      <c r="D101" s="78" t="inlineStr">
        <is>
          <t>ASP 01 2026 (Jan-26 view) — weeks before W36</t>
        </is>
      </c>
      <c r="E101" s="81">
        <f>IF(ISNUMBER(tblPlan[[#This Row],[Final build week (Monday)]]),"W"&amp;TEXT(_xlfn.ISOWEEKNUM(tblPlan[[#This Row],[Final build week (Monday)]]),"00")&amp;"-"&amp;YEAR(tblPlan[[#This Row],[Final build week (Monday)]]-WEEKDAY(tblPlan[[#This Row],[Final build week (Monday)]],2)+4),"")</f>
        <v/>
      </c>
      <c r="F10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2">
      <c r="A102" s="78" t="inlineStr">
        <is>
          <t>E2A-R12P-T5-C</t>
        </is>
      </c>
      <c r="B102" s="85" t="n">
        <v>46223</v>
      </c>
      <c r="C102" s="79" t="n">
        <v>2</v>
      </c>
      <c r="D102" s="78" t="inlineStr">
        <is>
          <t>ASP 01 2026 (Jan-26 view) — weeks before W36</t>
        </is>
      </c>
      <c r="E102" s="81">
        <f>IF(ISNUMBER(tblPlan[[#This Row],[Final build week (Monday)]]),"W"&amp;TEXT(_xlfn.ISOWEEKNUM(tblPlan[[#This Row],[Final build week (Monday)]]),"00")&amp;"-"&amp;YEAR(tblPlan[[#This Row],[Final build week (Monday)]]-WEEKDAY(tblPlan[[#This Row],[Final build week (Monday)]],2)+4),"")</f>
        <v/>
      </c>
      <c r="F10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3">
      <c r="A103" s="78" t="inlineStr">
        <is>
          <t>E2A-R12P-T5-C</t>
        </is>
      </c>
      <c r="B103" s="85" t="n">
        <v>46230</v>
      </c>
      <c r="C103" s="79" t="n">
        <v>2</v>
      </c>
      <c r="D103" s="78" t="inlineStr">
        <is>
          <t>ASP 01 2026 (Jan-26 view) — weeks before W36</t>
        </is>
      </c>
      <c r="E103" s="81">
        <f>IF(ISNUMBER(tblPlan[[#This Row],[Final build week (Monday)]]),"W"&amp;TEXT(_xlfn.ISOWEEKNUM(tblPlan[[#This Row],[Final build week (Monday)]]),"00")&amp;"-"&amp;YEAR(tblPlan[[#This Row],[Final build week (Monday)]]-WEEKDAY(tblPlan[[#This Row],[Final build week (Monday)]],2)+4),"")</f>
        <v/>
      </c>
      <c r="F10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4">
      <c r="A104" s="78" t="inlineStr">
        <is>
          <t>E2A-R12P-T5-C</t>
        </is>
      </c>
      <c r="B104" s="85" t="n">
        <v>46237</v>
      </c>
      <c r="C104" s="79" t="n">
        <v>2</v>
      </c>
      <c r="D104" s="78" t="inlineStr">
        <is>
          <t>ASP 01 2026 (Jan-26 view) — weeks before W36</t>
        </is>
      </c>
      <c r="E104" s="81">
        <f>IF(ISNUMBER(tblPlan[[#This Row],[Final build week (Monday)]]),"W"&amp;TEXT(_xlfn.ISOWEEKNUM(tblPlan[[#This Row],[Final build week (Monday)]]),"00")&amp;"-"&amp;YEAR(tblPlan[[#This Row],[Final build week (Monday)]]-WEEKDAY(tblPlan[[#This Row],[Final build week (Monday)]],2)+4),"")</f>
        <v/>
      </c>
      <c r="F10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5">
      <c r="A105" s="78" t="inlineStr">
        <is>
          <t>E2A-R12P-T5-C</t>
        </is>
      </c>
      <c r="B105" s="85" t="n">
        <v>46244</v>
      </c>
      <c r="C105" s="79" t="n">
        <v>2</v>
      </c>
      <c r="D105" s="78" t="inlineStr">
        <is>
          <t>ASP 01 2026 (Jan-26 view) — weeks before W36</t>
        </is>
      </c>
      <c r="E105" s="81">
        <f>IF(ISNUMBER(tblPlan[[#This Row],[Final build week (Monday)]]),"W"&amp;TEXT(_xlfn.ISOWEEKNUM(tblPlan[[#This Row],[Final build week (Monday)]]),"00")&amp;"-"&amp;YEAR(tblPlan[[#This Row],[Final build week (Monday)]]-WEEKDAY(tblPlan[[#This Row],[Final build week (Monday)]],2)+4),"")</f>
        <v/>
      </c>
      <c r="F10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6">
      <c r="A106" s="78" t="inlineStr">
        <is>
          <t>E2A-R12P-T5-C</t>
        </is>
      </c>
      <c r="B106" s="85" t="n">
        <v>46251</v>
      </c>
      <c r="C106" s="79" t="n">
        <v>2</v>
      </c>
      <c r="D106" s="78" t="inlineStr">
        <is>
          <t>ASP 01 2026 (Jan-26 view) — weeks before W36</t>
        </is>
      </c>
      <c r="E106" s="81">
        <f>IF(ISNUMBER(tblPlan[[#This Row],[Final build week (Monday)]]),"W"&amp;TEXT(_xlfn.ISOWEEKNUM(tblPlan[[#This Row],[Final build week (Monday)]]),"00")&amp;"-"&amp;YEAR(tblPlan[[#This Row],[Final build week (Monday)]]-WEEKDAY(tblPlan[[#This Row],[Final build week (Monday)]],2)+4),"")</f>
        <v/>
      </c>
      <c r="F10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7">
      <c r="A107" s="78" t="inlineStr">
        <is>
          <t>E2A-R12P-T5-C</t>
        </is>
      </c>
      <c r="B107" s="85" t="n">
        <v>46258</v>
      </c>
      <c r="C107" s="79" t="n">
        <v>3</v>
      </c>
      <c r="D107" s="78" t="inlineStr">
        <is>
          <t>ASP 01 2026 (Jan-26 view) — weeks before W36</t>
        </is>
      </c>
      <c r="E107" s="81">
        <f>IF(ISNUMBER(tblPlan[[#This Row],[Final build week (Monday)]]),"W"&amp;TEXT(_xlfn.ISOWEEKNUM(tblPlan[[#This Row],[Final build week (Monday)]]),"00")&amp;"-"&amp;YEAR(tblPlan[[#This Row],[Final build week (Monday)]]-WEEKDAY(tblPlan[[#This Row],[Final build week (Monday)]],2)+4),"")</f>
        <v/>
      </c>
      <c r="F10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8">
      <c r="A108" s="78" t="inlineStr">
        <is>
          <t>E2A-R12P-T5-C</t>
        </is>
      </c>
      <c r="B108" s="85" t="n">
        <v>46265</v>
      </c>
      <c r="C108" s="79" t="n">
        <v>2</v>
      </c>
      <c r="D108" s="78" t="inlineStr">
        <is>
          <t>PLAN export 02-Sep-26</t>
        </is>
      </c>
      <c r="E108" s="81">
        <f>IF(ISNUMBER(tblPlan[[#This Row],[Final build week (Monday)]]),"W"&amp;TEXT(_xlfn.ISOWEEKNUM(tblPlan[[#This Row],[Final build week (Monday)]]),"00")&amp;"-"&amp;YEAR(tblPlan[[#This Row],[Final build week (Monday)]]-WEEKDAY(tblPlan[[#This Row],[Final build week (Monday)]],2)+4),"")</f>
        <v/>
      </c>
      <c r="F10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09">
      <c r="A109" s="78" t="inlineStr">
        <is>
          <t>E2A-R12P-T5-C</t>
        </is>
      </c>
      <c r="B109" s="85" t="n">
        <v>46279</v>
      </c>
      <c r="C109" s="79" t="n">
        <v>1</v>
      </c>
      <c r="D109" s="78" t="inlineStr">
        <is>
          <t>PLAN export 02-Sep-26</t>
        </is>
      </c>
      <c r="E109" s="81">
        <f>IF(ISNUMBER(tblPlan[[#This Row],[Final build week (Monday)]]),"W"&amp;TEXT(_xlfn.ISOWEEKNUM(tblPlan[[#This Row],[Final build week (Monday)]]),"00")&amp;"-"&amp;YEAR(tblPlan[[#This Row],[Final build week (Monday)]]-WEEKDAY(tblPlan[[#This Row],[Final build week (Monday)]],2)+4),"")</f>
        <v/>
      </c>
      <c r="F10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0">
      <c r="A110" s="78" t="inlineStr">
        <is>
          <t>E2A-R12P-T5-C</t>
        </is>
      </c>
      <c r="B110" s="85" t="n">
        <v>46286</v>
      </c>
      <c r="C110" s="79" t="n">
        <v>2</v>
      </c>
      <c r="D110" s="78" t="inlineStr">
        <is>
          <t>PLAN export 02-Sep-26</t>
        </is>
      </c>
      <c r="E110" s="81">
        <f>IF(ISNUMBER(tblPlan[[#This Row],[Final build week (Monday)]]),"W"&amp;TEXT(_xlfn.ISOWEEKNUM(tblPlan[[#This Row],[Final build week (Monday)]]),"00")&amp;"-"&amp;YEAR(tblPlan[[#This Row],[Final build week (Monday)]]-WEEKDAY(tblPlan[[#This Row],[Final build week (Monday)]],2)+4),"")</f>
        <v/>
      </c>
      <c r="F11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1">
      <c r="A111" s="78" t="inlineStr">
        <is>
          <t>E2A-R12P-T5-C</t>
        </is>
      </c>
      <c r="B111" s="85" t="n">
        <v>46293</v>
      </c>
      <c r="C111" s="79" t="n">
        <v>2</v>
      </c>
      <c r="D111" s="78" t="inlineStr">
        <is>
          <t>PLAN export 02-Sep-26</t>
        </is>
      </c>
      <c r="E111" s="81">
        <f>IF(ISNUMBER(tblPlan[[#This Row],[Final build week (Monday)]]),"W"&amp;TEXT(_xlfn.ISOWEEKNUM(tblPlan[[#This Row],[Final build week (Monday)]]),"00")&amp;"-"&amp;YEAR(tblPlan[[#This Row],[Final build week (Monday)]]-WEEKDAY(tblPlan[[#This Row],[Final build week (Monday)]],2)+4),"")</f>
        <v/>
      </c>
      <c r="F11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2">
      <c r="A112" s="78" t="inlineStr">
        <is>
          <t>E2A-R12P-T5-C</t>
        </is>
      </c>
      <c r="B112" s="85" t="n">
        <v>46300</v>
      </c>
      <c r="C112" s="79" t="n">
        <v>2</v>
      </c>
      <c r="D112" s="78" t="inlineStr">
        <is>
          <t>PLAN export 02-Sep-26</t>
        </is>
      </c>
      <c r="E112" s="81">
        <f>IF(ISNUMBER(tblPlan[[#This Row],[Final build week (Monday)]]),"W"&amp;TEXT(_xlfn.ISOWEEKNUM(tblPlan[[#This Row],[Final build week (Monday)]]),"00")&amp;"-"&amp;YEAR(tblPlan[[#This Row],[Final build week (Monday)]]-WEEKDAY(tblPlan[[#This Row],[Final build week (Monday)]],2)+4),"")</f>
        <v/>
      </c>
      <c r="F11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3">
      <c r="A113" s="78" t="inlineStr">
        <is>
          <t>E2A-R12P-T5-C</t>
        </is>
      </c>
      <c r="B113" s="85" t="n">
        <v>46307</v>
      </c>
      <c r="C113" s="79" t="n">
        <v>2</v>
      </c>
      <c r="D113" s="78" t="inlineStr">
        <is>
          <t>PLAN export 02-Sep-26</t>
        </is>
      </c>
      <c r="E113" s="81">
        <f>IF(ISNUMBER(tblPlan[[#This Row],[Final build week (Monday)]]),"W"&amp;TEXT(_xlfn.ISOWEEKNUM(tblPlan[[#This Row],[Final build week (Monday)]]),"00")&amp;"-"&amp;YEAR(tblPlan[[#This Row],[Final build week (Monday)]]-WEEKDAY(tblPlan[[#This Row],[Final build week (Monday)]],2)+4),"")</f>
        <v/>
      </c>
      <c r="F11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4">
      <c r="A114" s="78" t="inlineStr">
        <is>
          <t>E2A-R12P-T5-C</t>
        </is>
      </c>
      <c r="B114" s="85" t="n">
        <v>46314</v>
      </c>
      <c r="C114" s="79" t="n">
        <v>3</v>
      </c>
      <c r="D114" s="78" t="inlineStr">
        <is>
          <t>PLAN export 02-Sep-26</t>
        </is>
      </c>
      <c r="E114" s="81">
        <f>IF(ISNUMBER(tblPlan[[#This Row],[Final build week (Monday)]]),"W"&amp;TEXT(_xlfn.ISOWEEKNUM(tblPlan[[#This Row],[Final build week (Monday)]]),"00")&amp;"-"&amp;YEAR(tblPlan[[#This Row],[Final build week (Monday)]]-WEEKDAY(tblPlan[[#This Row],[Final build week (Monday)]],2)+4),"")</f>
        <v/>
      </c>
      <c r="F11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5">
      <c r="A115" s="78" t="inlineStr">
        <is>
          <t>E2A-R12P-T5-C</t>
        </is>
      </c>
      <c r="B115" s="85" t="n">
        <v>46321</v>
      </c>
      <c r="C115" s="79" t="n">
        <v>1</v>
      </c>
      <c r="D115" s="78" t="inlineStr">
        <is>
          <t>PLAN export 02-Sep-26</t>
        </is>
      </c>
      <c r="E115" s="81">
        <f>IF(ISNUMBER(tblPlan[[#This Row],[Final build week (Monday)]]),"W"&amp;TEXT(_xlfn.ISOWEEKNUM(tblPlan[[#This Row],[Final build week (Monday)]]),"00")&amp;"-"&amp;YEAR(tblPlan[[#This Row],[Final build week (Monday)]]-WEEKDAY(tblPlan[[#This Row],[Final build week (Monday)]],2)+4),"")</f>
        <v/>
      </c>
      <c r="F11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6">
      <c r="A116" s="78" t="inlineStr">
        <is>
          <t>E2A-R12P-T5-C</t>
        </is>
      </c>
      <c r="B116" s="85" t="n">
        <v>46328</v>
      </c>
      <c r="C116" s="79" t="n">
        <v>1</v>
      </c>
      <c r="D116" s="78" t="inlineStr">
        <is>
          <t>PLAN export 02-Sep-26</t>
        </is>
      </c>
      <c r="E116" s="81">
        <f>IF(ISNUMBER(tblPlan[[#This Row],[Final build week (Monday)]]),"W"&amp;TEXT(_xlfn.ISOWEEKNUM(tblPlan[[#This Row],[Final build week (Monday)]]),"00")&amp;"-"&amp;YEAR(tblPlan[[#This Row],[Final build week (Monday)]]-WEEKDAY(tblPlan[[#This Row],[Final build week (Monday)]],2)+4),"")</f>
        <v/>
      </c>
      <c r="F11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7">
      <c r="A117" s="78" t="inlineStr">
        <is>
          <t>E2A-R12P-T5-C</t>
        </is>
      </c>
      <c r="B117" s="85" t="n">
        <v>46363</v>
      </c>
      <c r="C117" s="79" t="n">
        <v>2</v>
      </c>
      <c r="D117" s="78" t="inlineStr">
        <is>
          <t>PLAN export 02-Sep-26</t>
        </is>
      </c>
      <c r="E117" s="81">
        <f>IF(ISNUMBER(tblPlan[[#This Row],[Final build week (Monday)]]),"W"&amp;TEXT(_xlfn.ISOWEEKNUM(tblPlan[[#This Row],[Final build week (Monday)]]),"00")&amp;"-"&amp;YEAR(tblPlan[[#This Row],[Final build week (Monday)]]-WEEKDAY(tblPlan[[#This Row],[Final build week (Monday)]],2)+4),"")</f>
        <v/>
      </c>
      <c r="F11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8">
      <c r="A118" s="78" t="inlineStr">
        <is>
          <t>E2A-R12P-T5-C</t>
        </is>
      </c>
      <c r="B118" s="85" t="n">
        <v>46391</v>
      </c>
      <c r="C118" s="79" t="n">
        <v>9</v>
      </c>
      <c r="D118" s="78" t="inlineStr">
        <is>
          <t>PLAN export 02-Sep-26</t>
        </is>
      </c>
      <c r="E118" s="81">
        <f>IF(ISNUMBER(tblPlan[[#This Row],[Final build week (Monday)]]),"W"&amp;TEXT(_xlfn.ISOWEEKNUM(tblPlan[[#This Row],[Final build week (Monday)]]),"00")&amp;"-"&amp;YEAR(tblPlan[[#This Row],[Final build week (Monday)]]-WEEKDAY(tblPlan[[#This Row],[Final build week (Monday)]],2)+4),"")</f>
        <v/>
      </c>
      <c r="F11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19">
      <c r="A119" s="78" t="inlineStr">
        <is>
          <t>E2A-R12P-T5-C</t>
        </is>
      </c>
      <c r="B119" s="85" t="n">
        <v>46398</v>
      </c>
      <c r="C119" s="79" t="n">
        <v>2</v>
      </c>
      <c r="D119" s="78" t="inlineStr">
        <is>
          <t>PLAN export 02-Sep-26</t>
        </is>
      </c>
      <c r="E119" s="81">
        <f>IF(ISNUMBER(tblPlan[[#This Row],[Final build week (Monday)]]),"W"&amp;TEXT(_xlfn.ISOWEEKNUM(tblPlan[[#This Row],[Final build week (Monday)]]),"00")&amp;"-"&amp;YEAR(tblPlan[[#This Row],[Final build week (Monday)]]-WEEKDAY(tblPlan[[#This Row],[Final build week (Monday)]],2)+4),"")</f>
        <v/>
      </c>
      <c r="F11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0">
      <c r="A120" s="78" t="inlineStr">
        <is>
          <t>E2A-R12P-T5-C</t>
        </is>
      </c>
      <c r="B120" s="85" t="n">
        <v>46405</v>
      </c>
      <c r="C120" s="79" t="n">
        <v>6</v>
      </c>
      <c r="D120" s="78" t="inlineStr">
        <is>
          <t>PLAN export 02-Sep-26</t>
        </is>
      </c>
      <c r="E120" s="81">
        <f>IF(ISNUMBER(tblPlan[[#This Row],[Final build week (Monday)]]),"W"&amp;TEXT(_xlfn.ISOWEEKNUM(tblPlan[[#This Row],[Final build week (Monday)]]),"00")&amp;"-"&amp;YEAR(tblPlan[[#This Row],[Final build week (Monday)]]-WEEKDAY(tblPlan[[#This Row],[Final build week (Monday)]],2)+4),"")</f>
        <v/>
      </c>
      <c r="F12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1">
      <c r="A121" s="78" t="inlineStr">
        <is>
          <t>E2A-R12P-T5-C</t>
        </is>
      </c>
      <c r="B121" s="85" t="n">
        <v>46496</v>
      </c>
      <c r="C121" s="79" t="n">
        <v>1</v>
      </c>
      <c r="D121" s="78" t="inlineStr">
        <is>
          <t>PLAN export 02-Sep-26</t>
        </is>
      </c>
      <c r="E121" s="81">
        <f>IF(ISNUMBER(tblPlan[[#This Row],[Final build week (Monday)]]),"W"&amp;TEXT(_xlfn.ISOWEEKNUM(tblPlan[[#This Row],[Final build week (Monday)]]),"00")&amp;"-"&amp;YEAR(tblPlan[[#This Row],[Final build week (Monday)]]-WEEKDAY(tblPlan[[#This Row],[Final build week (Monday)]],2)+4),"")</f>
        <v/>
      </c>
      <c r="F12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2">
      <c r="A122" s="78" t="inlineStr">
        <is>
          <t>E2A-R12P-T5-C</t>
        </is>
      </c>
      <c r="B122" s="85" t="n">
        <v>46503</v>
      </c>
      <c r="C122" s="79" t="n">
        <v>1</v>
      </c>
      <c r="D122" s="78" t="inlineStr">
        <is>
          <t>PLAN export 02-Sep-26</t>
        </is>
      </c>
      <c r="E122" s="81">
        <f>IF(ISNUMBER(tblPlan[[#This Row],[Final build week (Monday)]]),"W"&amp;TEXT(_xlfn.ISOWEEKNUM(tblPlan[[#This Row],[Final build week (Monday)]]),"00")&amp;"-"&amp;YEAR(tblPlan[[#This Row],[Final build week (Monday)]]-WEEKDAY(tblPlan[[#This Row],[Final build week (Monday)]],2)+4),"")</f>
        <v/>
      </c>
      <c r="F12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3">
      <c r="A123" s="78" t="inlineStr">
        <is>
          <t>E2A-R12P-T5-C</t>
        </is>
      </c>
      <c r="B123" s="85" t="n">
        <v>46510</v>
      </c>
      <c r="C123" s="79" t="n">
        <v>1</v>
      </c>
      <c r="D123" s="78" t="inlineStr">
        <is>
          <t>PLAN export 02-Sep-26</t>
        </is>
      </c>
      <c r="E123" s="81">
        <f>IF(ISNUMBER(tblPlan[[#This Row],[Final build week (Monday)]]),"W"&amp;TEXT(_xlfn.ISOWEEKNUM(tblPlan[[#This Row],[Final build week (Monday)]]),"00")&amp;"-"&amp;YEAR(tblPlan[[#This Row],[Final build week (Monday)]]-WEEKDAY(tblPlan[[#This Row],[Final build week (Monday)]],2)+4),"")</f>
        <v/>
      </c>
      <c r="F12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4">
      <c r="A124" s="78" t="inlineStr">
        <is>
          <t>E2A-R12P-T5-C</t>
        </is>
      </c>
      <c r="B124" s="85" t="n">
        <v>46517</v>
      </c>
      <c r="C124" s="79" t="n">
        <v>5</v>
      </c>
      <c r="D124" s="78" t="inlineStr">
        <is>
          <t>PLAN export 02-Sep-26</t>
        </is>
      </c>
      <c r="E124" s="81">
        <f>IF(ISNUMBER(tblPlan[[#This Row],[Final build week (Monday)]]),"W"&amp;TEXT(_xlfn.ISOWEEKNUM(tblPlan[[#This Row],[Final build week (Monday)]]),"00")&amp;"-"&amp;YEAR(tblPlan[[#This Row],[Final build week (Monday)]]-WEEKDAY(tblPlan[[#This Row],[Final build week (Monday)]],2)+4),"")</f>
        <v/>
      </c>
      <c r="F12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5">
      <c r="A125" s="78" t="inlineStr">
        <is>
          <t>E2A-R12P-T5-C</t>
        </is>
      </c>
      <c r="B125" s="85" t="n">
        <v>46524</v>
      </c>
      <c r="C125" s="79" t="n">
        <v>7</v>
      </c>
      <c r="D125" s="78" t="inlineStr">
        <is>
          <t>PLAN export 02-Sep-26</t>
        </is>
      </c>
      <c r="E125" s="81">
        <f>IF(ISNUMBER(tblPlan[[#This Row],[Final build week (Monday)]]),"W"&amp;TEXT(_xlfn.ISOWEEKNUM(tblPlan[[#This Row],[Final build week (Monday)]]),"00")&amp;"-"&amp;YEAR(tblPlan[[#This Row],[Final build week (Monday)]]-WEEKDAY(tblPlan[[#This Row],[Final build week (Monday)]],2)+4),"")</f>
        <v/>
      </c>
      <c r="F12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6">
      <c r="A126" s="78" t="inlineStr">
        <is>
          <t>E2A-R12P-T5-C</t>
        </is>
      </c>
      <c r="B126" s="85" t="n">
        <v>46531</v>
      </c>
      <c r="C126" s="79" t="n">
        <v>12</v>
      </c>
      <c r="D126" s="78" t="inlineStr">
        <is>
          <t>PLAN export 02-Sep-26</t>
        </is>
      </c>
      <c r="E126" s="81">
        <f>IF(ISNUMBER(tblPlan[[#This Row],[Final build week (Monday)]]),"W"&amp;TEXT(_xlfn.ISOWEEKNUM(tblPlan[[#This Row],[Final build week (Monday)]]),"00")&amp;"-"&amp;YEAR(tblPlan[[#This Row],[Final build week (Monday)]]-WEEKDAY(tblPlan[[#This Row],[Final build week (Monday)]],2)+4),"")</f>
        <v/>
      </c>
      <c r="F12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7">
      <c r="A127" s="78" t="inlineStr">
        <is>
          <t>E2A-R12P-T5-C</t>
        </is>
      </c>
      <c r="B127" s="85" t="n">
        <v>46538</v>
      </c>
      <c r="C127" s="79" t="n">
        <v>11</v>
      </c>
      <c r="D127" s="78" t="inlineStr">
        <is>
          <t>PLAN export 02-Sep-26</t>
        </is>
      </c>
      <c r="E127" s="81">
        <f>IF(ISNUMBER(tblPlan[[#This Row],[Final build week (Monday)]]),"W"&amp;TEXT(_xlfn.ISOWEEKNUM(tblPlan[[#This Row],[Final build week (Monday)]]),"00")&amp;"-"&amp;YEAR(tblPlan[[#This Row],[Final build week (Monday)]]-WEEKDAY(tblPlan[[#This Row],[Final build week (Monday)]],2)+4),"")</f>
        <v/>
      </c>
      <c r="F12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8">
      <c r="A128" s="78" t="inlineStr">
        <is>
          <t>E2A-R12P-T5-C</t>
        </is>
      </c>
      <c r="B128" s="85" t="n">
        <v>46545</v>
      </c>
      <c r="C128" s="79" t="n">
        <v>12</v>
      </c>
      <c r="D128" s="78" t="inlineStr">
        <is>
          <t>PLAN export 02-Sep-26</t>
        </is>
      </c>
      <c r="E128" s="81">
        <f>IF(ISNUMBER(tblPlan[[#This Row],[Final build week (Monday)]]),"W"&amp;TEXT(_xlfn.ISOWEEKNUM(tblPlan[[#This Row],[Final build week (Monday)]]),"00")&amp;"-"&amp;YEAR(tblPlan[[#This Row],[Final build week (Monday)]]-WEEKDAY(tblPlan[[#This Row],[Final build week (Monday)]],2)+4),"")</f>
        <v/>
      </c>
      <c r="F12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29">
      <c r="A129" s="78" t="inlineStr">
        <is>
          <t>E2A-R12P-T5-C</t>
        </is>
      </c>
      <c r="B129" s="85" t="n">
        <v>46552</v>
      </c>
      <c r="C129" s="79" t="n">
        <v>11</v>
      </c>
      <c r="D129" s="78" t="inlineStr">
        <is>
          <t>PLAN export 02-Sep-26</t>
        </is>
      </c>
      <c r="E129" s="81">
        <f>IF(ISNUMBER(tblPlan[[#This Row],[Final build week (Monday)]]),"W"&amp;TEXT(_xlfn.ISOWEEKNUM(tblPlan[[#This Row],[Final build week (Monday)]]),"00")&amp;"-"&amp;YEAR(tblPlan[[#This Row],[Final build week (Monday)]]-WEEKDAY(tblPlan[[#This Row],[Final build week (Monday)]],2)+4),"")</f>
        <v/>
      </c>
      <c r="F12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0">
      <c r="A130" s="78" t="inlineStr">
        <is>
          <t>E2A-R12P-T5-C</t>
        </is>
      </c>
      <c r="B130" s="85" t="n">
        <v>46559</v>
      </c>
      <c r="C130" s="79" t="n">
        <v>11</v>
      </c>
      <c r="D130" s="78" t="inlineStr">
        <is>
          <t>PLAN export 02-Sep-26</t>
        </is>
      </c>
      <c r="E130" s="81">
        <f>IF(ISNUMBER(tblPlan[[#This Row],[Final build week (Monday)]]),"W"&amp;TEXT(_xlfn.ISOWEEKNUM(tblPlan[[#This Row],[Final build week (Monday)]]),"00")&amp;"-"&amp;YEAR(tblPlan[[#This Row],[Final build week (Monday)]]-WEEKDAY(tblPlan[[#This Row],[Final build week (Monday)]],2)+4),"")</f>
        <v/>
      </c>
      <c r="F13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1">
      <c r="A131" s="78" t="inlineStr">
        <is>
          <t>E2A-R12P-T5-C</t>
        </is>
      </c>
      <c r="B131" s="85" t="n">
        <v>46566</v>
      </c>
      <c r="C131" s="79" t="n">
        <v>2</v>
      </c>
      <c r="D131" s="78" t="inlineStr">
        <is>
          <t>PLAN export 02-Sep-26</t>
        </is>
      </c>
      <c r="E131" s="81">
        <f>IF(ISNUMBER(tblPlan[[#This Row],[Final build week (Monday)]]),"W"&amp;TEXT(_xlfn.ISOWEEKNUM(tblPlan[[#This Row],[Final build week (Monday)]]),"00")&amp;"-"&amp;YEAR(tblPlan[[#This Row],[Final build week (Monday)]]-WEEKDAY(tblPlan[[#This Row],[Final build week (Monday)]],2)+4),"")</f>
        <v/>
      </c>
      <c r="F13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2">
      <c r="A132" s="78" t="inlineStr">
        <is>
          <t>E2A-R12P-T6-C</t>
        </is>
      </c>
      <c r="B132" s="85" t="n">
        <v>46496</v>
      </c>
      <c r="C132" s="79" t="n">
        <v>2</v>
      </c>
      <c r="D132" s="78" t="inlineStr">
        <is>
          <t>PLAN export 02-Sep-26</t>
        </is>
      </c>
      <c r="E132" s="81">
        <f>IF(ISNUMBER(tblPlan[[#This Row],[Final build week (Monday)]]),"W"&amp;TEXT(_xlfn.ISOWEEKNUM(tblPlan[[#This Row],[Final build week (Monday)]]),"00")&amp;"-"&amp;YEAR(tblPlan[[#This Row],[Final build week (Monday)]]-WEEKDAY(tblPlan[[#This Row],[Final build week (Monday)]],2)+4),"")</f>
        <v/>
      </c>
      <c r="F13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3">
      <c r="A133" s="78" t="inlineStr">
        <is>
          <t>E2A-R12P-T6-C</t>
        </is>
      </c>
      <c r="B133" s="85" t="n">
        <v>46503</v>
      </c>
      <c r="C133" s="79" t="n">
        <v>1</v>
      </c>
      <c r="D133" s="78" t="inlineStr">
        <is>
          <t>PLAN export 02-Sep-26</t>
        </is>
      </c>
      <c r="E133" s="81">
        <f>IF(ISNUMBER(tblPlan[[#This Row],[Final build week (Monday)]]),"W"&amp;TEXT(_xlfn.ISOWEEKNUM(tblPlan[[#This Row],[Final build week (Monday)]]),"00")&amp;"-"&amp;YEAR(tblPlan[[#This Row],[Final build week (Monday)]]-WEEKDAY(tblPlan[[#This Row],[Final build week (Monday)]],2)+4),"")</f>
        <v/>
      </c>
      <c r="F13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4">
      <c r="A134" s="78" t="inlineStr">
        <is>
          <t>E2A-R12P-T6-C</t>
        </is>
      </c>
      <c r="B134" s="85" t="n">
        <v>46566</v>
      </c>
      <c r="C134" s="79" t="n">
        <v>2</v>
      </c>
      <c r="D134" s="78" t="inlineStr">
        <is>
          <t>PLAN export 02-Sep-26</t>
        </is>
      </c>
      <c r="E134" s="81">
        <f>IF(ISNUMBER(tblPlan[[#This Row],[Final build week (Monday)]]),"W"&amp;TEXT(_xlfn.ISOWEEKNUM(tblPlan[[#This Row],[Final build week (Monday)]]),"00")&amp;"-"&amp;YEAR(tblPlan[[#This Row],[Final build week (Monday)]]-WEEKDAY(tblPlan[[#This Row],[Final build week (Monday)]],2)+4),"")</f>
        <v/>
      </c>
      <c r="F13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5">
      <c r="A135" s="78" t="inlineStr">
        <is>
          <t>E2A-R16P-T7-C</t>
        </is>
      </c>
      <c r="B135" s="85" t="n">
        <v>46489</v>
      </c>
      <c r="C135" s="79" t="n">
        <v>2</v>
      </c>
      <c r="D135" s="78" t="inlineStr">
        <is>
          <t>PLAN export 02-Sep-26</t>
        </is>
      </c>
      <c r="E135" s="81">
        <f>IF(ISNUMBER(tblPlan[[#This Row],[Final build week (Monday)]]),"W"&amp;TEXT(_xlfn.ISOWEEKNUM(tblPlan[[#This Row],[Final build week (Monday)]]),"00")&amp;"-"&amp;YEAR(tblPlan[[#This Row],[Final build week (Monday)]]-WEEKDAY(tblPlan[[#This Row],[Final build week (Monday)]],2)+4),"")</f>
        <v/>
      </c>
      <c r="F13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6">
      <c r="A136" s="78" t="inlineStr">
        <is>
          <t>E2A-R16P-T7-C</t>
        </is>
      </c>
      <c r="B136" s="85" t="n">
        <v>46510</v>
      </c>
      <c r="C136" s="79" t="n">
        <v>4</v>
      </c>
      <c r="D136" s="78" t="inlineStr">
        <is>
          <t>PLAN export 02-Sep-26</t>
        </is>
      </c>
      <c r="E136" s="81">
        <f>IF(ISNUMBER(tblPlan[[#This Row],[Final build week (Monday)]]),"W"&amp;TEXT(_xlfn.ISOWEEKNUM(tblPlan[[#This Row],[Final build week (Monday)]]),"00")&amp;"-"&amp;YEAR(tblPlan[[#This Row],[Final build week (Monday)]]-WEEKDAY(tblPlan[[#This Row],[Final build week (Monday)]],2)+4),"")</f>
        <v/>
      </c>
      <c r="F13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7">
      <c r="A137" s="78" t="inlineStr">
        <is>
          <t>E2A-R16P-T7-C</t>
        </is>
      </c>
      <c r="B137" s="85" t="n">
        <v>46517</v>
      </c>
      <c r="C137" s="79" t="n">
        <v>1</v>
      </c>
      <c r="D137" s="78" t="inlineStr">
        <is>
          <t>PLAN export 02-Sep-26</t>
        </is>
      </c>
      <c r="E137" s="81">
        <f>IF(ISNUMBER(tblPlan[[#This Row],[Final build week (Monday)]]),"W"&amp;TEXT(_xlfn.ISOWEEKNUM(tblPlan[[#This Row],[Final build week (Monday)]]),"00")&amp;"-"&amp;YEAR(tblPlan[[#This Row],[Final build week (Monday)]]-WEEKDAY(tblPlan[[#This Row],[Final build week (Monday)]],2)+4),"")</f>
        <v/>
      </c>
      <c r="F13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8">
      <c r="A138" s="78" t="inlineStr">
        <is>
          <t>E2A-R16P-T7-C</t>
        </is>
      </c>
      <c r="B138" s="85" t="n">
        <v>46524</v>
      </c>
      <c r="C138" s="79" t="n">
        <v>2</v>
      </c>
      <c r="D138" s="78" t="inlineStr">
        <is>
          <t>PLAN export 02-Sep-26</t>
        </is>
      </c>
      <c r="E138" s="81">
        <f>IF(ISNUMBER(tblPlan[[#This Row],[Final build week (Monday)]]),"W"&amp;TEXT(_xlfn.ISOWEEKNUM(tblPlan[[#This Row],[Final build week (Monday)]]),"00")&amp;"-"&amp;YEAR(tblPlan[[#This Row],[Final build week (Monday)]]-WEEKDAY(tblPlan[[#This Row],[Final build week (Monday)]],2)+4),"")</f>
        <v/>
      </c>
      <c r="F13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39">
      <c r="A139" s="78" t="inlineStr">
        <is>
          <t>DARAJA-R8P (TBC)</t>
        </is>
      </c>
      <c r="B139" s="85" t="n">
        <v>47063</v>
      </c>
      <c r="C139" s="79" t="n">
        <v>3</v>
      </c>
      <c r="D139" s="78" t="inlineStr">
        <is>
          <t>PLAN export 02-Sep-26</t>
        </is>
      </c>
      <c r="E139" s="81">
        <f>IF(ISNUMBER(tblPlan[[#This Row],[Final build week (Monday)]]),"W"&amp;TEXT(_xlfn.ISOWEEKNUM(tblPlan[[#This Row],[Final build week (Monday)]]),"00")&amp;"-"&amp;YEAR(tblPlan[[#This Row],[Final build week (Monday)]]-WEEKDAY(tblPlan[[#This Row],[Final build week (Monday)]],2)+4),"")</f>
        <v/>
      </c>
      <c r="F13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0">
      <c r="A140" s="78" t="inlineStr">
        <is>
          <t>DARAJA-R8P (TBC)</t>
        </is>
      </c>
      <c r="B140" s="85" t="n">
        <v>47070</v>
      </c>
      <c r="C140" s="79" t="n">
        <v>3</v>
      </c>
      <c r="D140" s="78" t="inlineStr">
        <is>
          <t>PLAN export 02-Sep-26</t>
        </is>
      </c>
      <c r="E140" s="81">
        <f>IF(ISNUMBER(tblPlan[[#This Row],[Final build week (Monday)]]),"W"&amp;TEXT(_xlfn.ISOWEEKNUM(tblPlan[[#This Row],[Final build week (Monday)]]),"00")&amp;"-"&amp;YEAR(tblPlan[[#This Row],[Final build week (Monday)]]-WEEKDAY(tblPlan[[#This Row],[Final build week (Monday)]],2)+4),"")</f>
        <v/>
      </c>
      <c r="F14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1">
      <c r="A141" s="78" t="inlineStr">
        <is>
          <t>DARAJA-R8P (TBC)</t>
        </is>
      </c>
      <c r="B141" s="85" t="n">
        <v>47098</v>
      </c>
      <c r="C141" s="79" t="n">
        <v>4</v>
      </c>
      <c r="D141" s="78" t="inlineStr">
        <is>
          <t>PLAN export 02-Sep-26</t>
        </is>
      </c>
      <c r="E141" s="81">
        <f>IF(ISNUMBER(tblPlan[[#This Row],[Final build week (Monday)]]),"W"&amp;TEXT(_xlfn.ISOWEEKNUM(tblPlan[[#This Row],[Final build week (Monday)]]),"00")&amp;"-"&amp;YEAR(tblPlan[[#This Row],[Final build week (Monday)]]-WEEKDAY(tblPlan[[#This Row],[Final build week (Monday)]],2)+4),"")</f>
        <v/>
      </c>
      <c r="F14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2">
      <c r="A142" s="78" t="inlineStr">
        <is>
          <t>DARAJA-R24P (TBC)</t>
        </is>
      </c>
      <c r="B142" s="85" t="n">
        <v>47007</v>
      </c>
      <c r="C142" s="79" t="n">
        <v>2</v>
      </c>
      <c r="D142" s="78" t="inlineStr">
        <is>
          <t>PLAN export 02-Sep-26</t>
        </is>
      </c>
      <c r="E142" s="81">
        <f>IF(ISNUMBER(tblPlan[[#This Row],[Final build week (Monday)]]),"W"&amp;TEXT(_xlfn.ISOWEEKNUM(tblPlan[[#This Row],[Final build week (Monday)]]),"00")&amp;"-"&amp;YEAR(tblPlan[[#This Row],[Final build week (Monday)]]-WEEKDAY(tblPlan[[#This Row],[Final build week (Monday)]],2)+4),"")</f>
        <v/>
      </c>
      <c r="F14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3">
      <c r="A143" s="78" t="inlineStr">
        <is>
          <t>DARAJA-R24P (TBC)</t>
        </is>
      </c>
      <c r="B143" s="85" t="n">
        <v>47056</v>
      </c>
      <c r="C143" s="79" t="n">
        <v>1</v>
      </c>
      <c r="D143" s="78" t="inlineStr">
        <is>
          <t>PLAN export 02-Sep-26</t>
        </is>
      </c>
      <c r="E143" s="81">
        <f>IF(ISNUMBER(tblPlan[[#This Row],[Final build week (Monday)]]),"W"&amp;TEXT(_xlfn.ISOWEEKNUM(tblPlan[[#This Row],[Final build week (Monday)]]),"00")&amp;"-"&amp;YEAR(tblPlan[[#This Row],[Final build week (Monday)]]-WEEKDAY(tblPlan[[#This Row],[Final build week (Monday)]],2)+4),"")</f>
        <v/>
      </c>
      <c r="F143"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4">
      <c r="A144" s="78" t="inlineStr">
        <is>
          <t>DARAJA-R24P (TBC)</t>
        </is>
      </c>
      <c r="B144" s="85" t="n">
        <v>47063</v>
      </c>
      <c r="C144" s="79" t="n">
        <v>8</v>
      </c>
      <c r="D144" s="78" t="inlineStr">
        <is>
          <t>PLAN export 02-Sep-26</t>
        </is>
      </c>
      <c r="E144" s="81">
        <f>IF(ISNUMBER(tblPlan[[#This Row],[Final build week (Monday)]]),"W"&amp;TEXT(_xlfn.ISOWEEKNUM(tblPlan[[#This Row],[Final build week (Monday)]]),"00")&amp;"-"&amp;YEAR(tblPlan[[#This Row],[Final build week (Monday)]]-WEEKDAY(tblPlan[[#This Row],[Final build week (Monday)]],2)+4),"")</f>
        <v/>
      </c>
      <c r="F144"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5">
      <c r="A145" s="78" t="inlineStr">
        <is>
          <t>DARAJA-R24P (TBC)</t>
        </is>
      </c>
      <c r="B145" s="85" t="n">
        <v>47070</v>
      </c>
      <c r="C145" s="79" t="n">
        <v>7</v>
      </c>
      <c r="D145" s="78" t="inlineStr">
        <is>
          <t>PLAN export 02-Sep-26</t>
        </is>
      </c>
      <c r="E145" s="81">
        <f>IF(ISNUMBER(tblPlan[[#This Row],[Final build week (Monday)]]),"W"&amp;TEXT(_xlfn.ISOWEEKNUM(tblPlan[[#This Row],[Final build week (Monday)]]),"00")&amp;"-"&amp;YEAR(tblPlan[[#This Row],[Final build week (Monday)]]-WEEKDAY(tblPlan[[#This Row],[Final build week (Monday)]],2)+4),"")</f>
        <v/>
      </c>
      <c r="F145"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6">
      <c r="A146" s="78" t="inlineStr">
        <is>
          <t>DARAJA-R24P (TBC)</t>
        </is>
      </c>
      <c r="B146" s="85" t="n">
        <v>47077</v>
      </c>
      <c r="C146" s="79" t="n">
        <v>8</v>
      </c>
      <c r="D146" s="78" t="inlineStr">
        <is>
          <t>PLAN export 02-Sep-26</t>
        </is>
      </c>
      <c r="E146" s="81">
        <f>IF(ISNUMBER(tblPlan[[#This Row],[Final build week (Monday)]]),"W"&amp;TEXT(_xlfn.ISOWEEKNUM(tblPlan[[#This Row],[Final build week (Monday)]]),"00")&amp;"-"&amp;YEAR(tblPlan[[#This Row],[Final build week (Monday)]]-WEEKDAY(tblPlan[[#This Row],[Final build week (Monday)]],2)+4),"")</f>
        <v/>
      </c>
      <c r="F146"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7">
      <c r="A147" s="78" t="inlineStr">
        <is>
          <t>DARAJA-R24P (TBC)</t>
        </is>
      </c>
      <c r="B147" s="85" t="n">
        <v>47084</v>
      </c>
      <c r="C147" s="79" t="n">
        <v>7</v>
      </c>
      <c r="D147" s="78" t="inlineStr">
        <is>
          <t>PLAN export 02-Sep-26</t>
        </is>
      </c>
      <c r="E147" s="81">
        <f>IF(ISNUMBER(tblPlan[[#This Row],[Final build week (Monday)]]),"W"&amp;TEXT(_xlfn.ISOWEEKNUM(tblPlan[[#This Row],[Final build week (Monday)]]),"00")&amp;"-"&amp;YEAR(tblPlan[[#This Row],[Final build week (Monday)]]-WEEKDAY(tblPlan[[#This Row],[Final build week (Monday)]],2)+4),"")</f>
        <v/>
      </c>
      <c r="F147"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8">
      <c r="A148" s="78" t="inlineStr">
        <is>
          <t>DARAJA-R24P (TBC)</t>
        </is>
      </c>
      <c r="B148" s="85" t="n">
        <v>47091</v>
      </c>
      <c r="C148" s="79" t="n">
        <v>7</v>
      </c>
      <c r="D148" s="78" t="inlineStr">
        <is>
          <t>PLAN export 02-Sep-26</t>
        </is>
      </c>
      <c r="E148" s="81">
        <f>IF(ISNUMBER(tblPlan[[#This Row],[Final build week (Monday)]]),"W"&amp;TEXT(_xlfn.ISOWEEKNUM(tblPlan[[#This Row],[Final build week (Monday)]]),"00")&amp;"-"&amp;YEAR(tblPlan[[#This Row],[Final build week (Monday)]]-WEEKDAY(tblPlan[[#This Row],[Final build week (Monday)]],2)+4),"")</f>
        <v/>
      </c>
      <c r="F148"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49">
      <c r="A149" s="78" t="inlineStr">
        <is>
          <t>DARAJA-R24P (TBC)</t>
        </is>
      </c>
      <c r="B149" s="85" t="n">
        <v>47098</v>
      </c>
      <c r="C149" s="79" t="n">
        <v>6</v>
      </c>
      <c r="D149" s="78" t="inlineStr">
        <is>
          <t>PLAN export 02-Sep-26</t>
        </is>
      </c>
      <c r="E149" s="81">
        <f>IF(ISNUMBER(tblPlan[[#This Row],[Final build week (Monday)]]),"W"&amp;TEXT(_xlfn.ISOWEEKNUM(tblPlan[[#This Row],[Final build week (Monday)]]),"00")&amp;"-"&amp;YEAR(tblPlan[[#This Row],[Final build week (Monday)]]-WEEKDAY(tblPlan[[#This Row],[Final build week (Monday)]],2)+4),"")</f>
        <v/>
      </c>
      <c r="F149"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50">
      <c r="A150" s="78" t="inlineStr">
        <is>
          <t>REUNION-SOUTH-R16P (TBC)</t>
        </is>
      </c>
      <c r="B150" s="85" t="n">
        <v>46937</v>
      </c>
      <c r="C150" s="79" t="n">
        <v>10</v>
      </c>
      <c r="D150" s="78" t="inlineStr">
        <is>
          <t>PLAN export 02-Sep-26</t>
        </is>
      </c>
      <c r="E150" s="81">
        <f>IF(ISNUMBER(tblPlan[[#This Row],[Final build week (Monday)]]),"W"&amp;TEXT(_xlfn.ISOWEEKNUM(tblPlan[[#This Row],[Final build week (Monday)]]),"00")&amp;"-"&amp;YEAR(tblPlan[[#This Row],[Final build week (Monday)]]-WEEKDAY(tblPlan[[#This Row],[Final build week (Monday)]],2)+4),"")</f>
        <v/>
      </c>
      <c r="F150"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51">
      <c r="A151" s="78" t="inlineStr">
        <is>
          <t>REUNION-SOUTH-R16P (TBC)</t>
        </is>
      </c>
      <c r="B151" s="85" t="n">
        <v>46944</v>
      </c>
      <c r="C151" s="79" t="n">
        <v>9</v>
      </c>
      <c r="D151" s="78" t="inlineStr">
        <is>
          <t>PLAN export 02-Sep-26</t>
        </is>
      </c>
      <c r="E151" s="81">
        <f>IF(ISNUMBER(tblPlan[[#This Row],[Final build week (Monday)]]),"W"&amp;TEXT(_xlfn.ISOWEEKNUM(tblPlan[[#This Row],[Final build week (Monday)]]),"00")&amp;"-"&amp;YEAR(tblPlan[[#This Row],[Final build week (Monday)]]-WEEKDAY(tblPlan[[#This Row],[Final build week (Monday)]],2)+4),"")</f>
        <v/>
      </c>
      <c r="F151"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row r="152">
      <c r="A152" s="78" t="inlineStr">
        <is>
          <t>REUNION-SOUTH-R16P (TBC)</t>
        </is>
      </c>
      <c r="B152" s="85" t="n">
        <v>46951</v>
      </c>
      <c r="C152" s="79" t="n">
        <v>12</v>
      </c>
      <c r="D152" s="78" t="inlineStr">
        <is>
          <t>PLAN export 02-Sep-26</t>
        </is>
      </c>
      <c r="E152" s="81">
        <f>IF(ISNUMBER(tblPlan[[#This Row],[Final build week (Monday)]]),"W"&amp;TEXT(_xlfn.ISOWEEKNUM(tblPlan[[#This Row],[Final build week (Monday)]]),"00")&amp;"-"&amp;YEAR(tblPlan[[#This Row],[Final build week (Monday)]]-WEEKDAY(tblPlan[[#This Row],[Final build week (Monday)]],2)+4),"")</f>
        <v/>
      </c>
      <c r="F152" s="81">
        <f>IF(tblPlan[[#This Row],[Contract]]="","Missing contract",IF(COUNTIF(tblContracts[Contract ID],tblPlan[[#This Row],[Contract]])=0,"Unknown contract",IF(NOT(ISNUMBER(tblPlan[[#This Row],[Final build week (Monday)]])),"Missing date",IF(WEEKDAY(tblPlan[[#This Row],[Final build week (Monday)]],2)&lt;&gt;1,"Not a Monday",IF(OR(NOT(ISNUMBER(tblPlan[[#This Row],[Repeaters planned]])),tblPlan[[#This Row],[Repeaters planned]]&lt;0),"Qty missing or invalid","OK")))))</f>
        <v/>
      </c>
    </row>
  </sheetData>
  <mergeCells count="2">
    <mergeCell ref="A3:F3"/>
    <mergeCell ref="A2:F2"/>
  </mergeCells>
  <conditionalFormatting sqref="F7:F5006">
    <cfRule type="expression" priority="1" dxfId="7">
      <formula>AND(F7&lt;&gt;"",F7&lt;&gt;"OK",F7&lt;&gt;"Not yet updated")</formula>
    </cfRule>
    <cfRule type="expression" priority="2" dxfId="8">
      <formula>F7="Not yet updated"</formula>
    </cfRule>
    <cfRule type="expression" priority="3" dxfId="18">
      <formula>F7="OK"</formula>
    </cfRule>
  </conditionalFormatting>
  <dataValidations count="3">
    <dataValidation sqref="A7:A5006" showDropDown="0" showInputMessage="0" showErrorMessage="1" allowBlank="1" errorTitle="Check entry" error="Pick a contract that exists on the Contracts sheet." type="list" errorStyle="stop">
      <formula1>ContractList</formula1>
    </dataValidation>
    <dataValidation sqref="B7:B5006" showDropDown="0" showInputMessage="0" showErrorMessage="1" allowBlank="1" errorTitle="Monday date required" error="Enter the MONDAY date of the final build week." type="custom" errorStyle="stop">
      <formula1>AND(ISNUMBER(B7),WEEKDAY(B7,2)=1)</formula1>
    </dataValidation>
    <dataValidation sqref="C7:C5006" showDropDown="0" showInputMessage="0" showErrorMessage="1" allowBlank="1" errorTitle="Check entry" error="Repeaters planned must be a whole number (0 or more)." type="whole" errorStyle="stop" operator="greaterThanOrEqual">
      <formula1>0</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2026-10-05T15:36:53Z</dcterms:created>
  <dcterms:modified xmlns:dcterms="http://purl.org/dc/terms/" xmlns:xsi="http://www.w3.org/2001/XMLSchema-instance" xsi:type="dcterms:W3CDTF">2026-10-05T15:36:53Z</dcterms:modified>
</cp:coreProperties>
</file>